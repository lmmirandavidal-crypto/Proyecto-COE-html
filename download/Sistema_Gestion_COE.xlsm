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timelines/timeline1.xml" ContentType="application/vnd.ms-excel.timelin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0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pdhl-my.sharepoint.com/personal/lucas_miranda_dhl_com/Documents/Escritorio/COE/2025/modelo original/"/>
    </mc:Choice>
  </mc:AlternateContent>
  <xr:revisionPtr revIDLastSave="16" documentId="8_{4775FCE6-7790-4A64-824A-D642744CC2A9}" xr6:coauthVersionLast="47" xr6:coauthVersionMax="47" xr10:uidLastSave="{09807092-EE91-4B40-80E4-9A67E0DC7B5F}"/>
  <bookViews>
    <workbookView xWindow="-108" yWindow="-108" windowWidth="23256" windowHeight="12456" tabRatio="826" firstSheet="1" activeTab="1" xr2:uid="{A3C4175B-B1BD-4F81-A140-F9465A77828C}"/>
  </bookViews>
  <sheets>
    <sheet name="Instrucciones" sheetId="2" r:id="rId1"/>
    <sheet name="Dashboard" sheetId="5" r:id="rId2"/>
    <sheet name="Reporte_Cumplimiento" sheetId="187" r:id="rId3"/>
    <sheet name="Analisis_Detallado" sheetId="182" r:id="rId4"/>
    <sheet name="template_Analisis" sheetId="51" state="veryHidden" r:id="rId5"/>
    <sheet name="Configuracion" sheetId="3" r:id="rId6"/>
    <sheet name="Tareas_Hoy" sheetId="4" r:id="rId7"/>
    <sheet name="Tareas_Maestro" sheetId="1" r:id="rId8"/>
    <sheet name="Mapeo_Verificacion" sheetId="97" r:id="rId9"/>
    <sheet name="template_Detalle_PC" sheetId="128" state="veryHidden" r:id="rId10"/>
    <sheet name="Tareas_Historico" sheetId="6" state="hidden" r:id="rId11"/>
    <sheet name="Datos_Dashboard" sheetId="31" state="hidden" r:id="rId12"/>
  </sheets>
  <definedNames>
    <definedName name="_xlnm._FilterDatabase" localSheetId="8" hidden="1">Mapeo_Verificacion!$A$1:$J$1</definedName>
    <definedName name="_xlnm._FilterDatabase" localSheetId="6" hidden="1">Tareas_Hoy!$C$1:$O$223</definedName>
    <definedName name="_xlnm._FilterDatabase" localSheetId="7" hidden="1">Tareas_Maestro!$A$1:$R$135</definedName>
    <definedName name="CSD">Configuracion!$K$2:$K$50</definedName>
    <definedName name="Gerente">Configuracion!$G$2:$G$50</definedName>
    <definedName name="L01_">Configuracion!$N$2:$N$50</definedName>
    <definedName name="L02_">Configuracion!$O$2:$O$50</definedName>
    <definedName name="L03_">Configuracion!$P$2:$P$50</definedName>
    <definedName name="L04_">Configuracion!$Q$2:$Q$50</definedName>
    <definedName name="L05_">Configuracion!$R$2:$R$50</definedName>
    <definedName name="L06_">Configuracion!$S$2:$S$50</definedName>
    <definedName name="L07_">Configuracion!$T$2:$T$50</definedName>
    <definedName name="L08_">Configuracion!$U$2:$U$50</definedName>
    <definedName name="L09_">Configuracion!$V$2:$V$50</definedName>
    <definedName name="L10_">Configuracion!$W$2:$W$50</definedName>
    <definedName name="L11_">Configuracion!$X$2:$X$50</definedName>
    <definedName name="L12_">Configuracion!$Y$2:$Y$50</definedName>
    <definedName name="L13_">Configuracion!$Z$2:$Z$50</definedName>
    <definedName name="L14_">Configuracion!$AA$2:$AA$50</definedName>
    <definedName name="L15_">Configuracion!$AB$2:$AB$50</definedName>
    <definedName name="L16_">Configuracion!$AC$2:$AC$50</definedName>
    <definedName name="L17_">Configuracion!$AD$2:$AD$50</definedName>
    <definedName name="L18_">Configuracion!$AE$2:$AE$50</definedName>
    <definedName name="L19_">Configuracion!$AF$2:$AF$50</definedName>
    <definedName name="L20_">Configuracion!$AG$2:$AG$50</definedName>
    <definedName name="L21_">Configuracion!$AH$2:$AH$50</definedName>
    <definedName name="L22_">Configuracion!$AI$2:$AI$50</definedName>
    <definedName name="M01_">Configuracion!$AJ$2:$AJ$50</definedName>
    <definedName name="M02_">Configuracion!$AK$2:$AK$50</definedName>
    <definedName name="M03_">Configuracion!$AL$2:$AL$50</definedName>
    <definedName name="M04_">Configuracion!$AM$2:$AM$50</definedName>
    <definedName name="M05_">Configuracion!$AN$2:$AN$50</definedName>
    <definedName name="M06_">Configuracion!$AO$2:$AO$50</definedName>
    <definedName name="M07_">Configuracion!$AP$2:$AP$50</definedName>
    <definedName name="M08_">Configuracion!$AQ$2:$AQ$50</definedName>
    <definedName name="M09_">Configuracion!$AR$2:$AR$50</definedName>
    <definedName name="NativeTimeline_Fecha_Asignada">#N/A</definedName>
    <definedName name="P01_">Configuracion!$AS$2:$AS$50</definedName>
    <definedName name="P02_">Configuracion!$AT$2:$AT$50</definedName>
    <definedName name="P03_">Configuracion!$AU$2:$AU$50</definedName>
    <definedName name="P04_">Configuracion!$AV$2:$AV$50</definedName>
    <definedName name="P05_">Configuracion!$AW$2:$AW$50</definedName>
    <definedName name="P06_">Configuracion!$AX$2:$AX$50</definedName>
    <definedName name="P07_">Configuracion!$AY$2:$AY$50</definedName>
    <definedName name="P08_">Configuracion!$AZ$2:$AZ$50</definedName>
    <definedName name="P09_">Configuracion!$BA$2:$BA$50</definedName>
    <definedName name="P10_">Configuracion!$BB$2:$BB$50</definedName>
    <definedName name="P11_">Configuracion!$BC$2:$BC$50</definedName>
    <definedName name="P12_">Configuracion!$BD$2:$BD$50</definedName>
    <definedName name="Slicer_Estado">#N/A</definedName>
    <definedName name="Slicer_Pilar">#N/A</definedName>
    <definedName name="Slicer_Responsable">#N/A</definedName>
    <definedName name="Slicer_Responsable__Nombre">#N/A</definedName>
    <definedName name="Supervisor_BL">Configuracion!$I$2:$I$50</definedName>
    <definedName name="Supervisor_FL">Configuracion!$H$2:$H$50</definedName>
    <definedName name="Supervisor_KAD">Configuracion!$J$2:$J$50</definedName>
    <definedName name="T01_">Configuracion!$BE$2:$BE$50</definedName>
    <definedName name="T02_">Configuracion!$BF$2:$BF$50</definedName>
    <definedName name="T03_">Configuracion!$BG$2:$BG$50</definedName>
    <definedName name="T04_">Configuracion!$BH$2:$BH$50</definedName>
    <definedName name="T05_">Configuracion!$BI$2:$BI$50</definedName>
    <definedName name="T06_">Configuracion!$BJ$2:$BJ$50</definedName>
    <definedName name="T07_">Configuracion!$BK$2:$BK$50</definedName>
    <definedName name="T08_">Configuracion!$BL$2:$BL$50</definedName>
    <definedName name="T09_">Configuracion!$BM$2:$BM$50</definedName>
    <definedName name="T10_">Configuracion!$BN$2:$BN$50</definedName>
    <definedName name="T11_">Configuracion!$BO$2:$BO$50</definedName>
    <definedName name="T12_">Configuracion!$BP$2:$BP$50</definedName>
    <definedName name="T13_">Configuracion!$BQ$2:$BQ$50</definedName>
    <definedName name="T14_">Configuracion!$BR$2:$BR$50</definedName>
    <definedName name="T15_">Configuracion!$BS$2:$BS$50</definedName>
    <definedName name="T16_">Configuracion!$BT$2:$BT$50</definedName>
  </definedNames>
  <calcPr calcId="191028"/>
  <pivotCaches>
    <pivotCache cacheId="4815" r:id="rId13"/>
    <pivotCache cacheId="4816" r:id="rId14"/>
    <pivotCache cacheId="4817"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 i="5" l="1"/>
  <c r="N15" i="5"/>
  <c r="N14" i="5"/>
  <c r="G3" i="97"/>
  <c r="G4" i="97"/>
  <c r="G5" i="97"/>
  <c r="G6" i="97"/>
  <c r="G7" i="97"/>
  <c r="G8" i="97"/>
  <c r="G9" i="97"/>
  <c r="G10" i="97"/>
  <c r="G11" i="97"/>
  <c r="G12" i="97"/>
  <c r="G13" i="97"/>
  <c r="G14" i="97"/>
  <c r="G15" i="97"/>
  <c r="G16" i="97"/>
  <c r="G17" i="97"/>
  <c r="G18" i="97"/>
  <c r="G19" i="97"/>
  <c r="G20" i="97"/>
  <c r="G21" i="97"/>
  <c r="G22" i="97"/>
  <c r="G23" i="97"/>
  <c r="G24" i="97"/>
  <c r="G25" i="97"/>
  <c r="G26" i="97"/>
  <c r="G27" i="97"/>
  <c r="G28" i="97"/>
  <c r="G29" i="97"/>
  <c r="G30" i="97"/>
  <c r="G31" i="97"/>
  <c r="G32" i="97"/>
  <c r="G33" i="97"/>
  <c r="G34" i="97"/>
  <c r="G35" i="97"/>
  <c r="G36" i="97"/>
  <c r="G37" i="97"/>
  <c r="G38" i="97"/>
  <c r="G39" i="97"/>
  <c r="G40" i="97"/>
  <c r="G41" i="97"/>
  <c r="G42" i="97"/>
  <c r="G43" i="97"/>
  <c r="G44" i="97"/>
  <c r="G45" i="97"/>
  <c r="G46" i="97"/>
  <c r="G47" i="97"/>
  <c r="G48" i="97"/>
  <c r="G49" i="97"/>
  <c r="G50" i="97"/>
  <c r="G51" i="97"/>
  <c r="G52" i="97"/>
  <c r="G53" i="97"/>
  <c r="G54" i="97"/>
  <c r="G55" i="97"/>
  <c r="G56" i="97"/>
  <c r="G57" i="97"/>
  <c r="G58" i="97"/>
  <c r="G59" i="97"/>
  <c r="G60" i="97"/>
  <c r="G61" i="97"/>
  <c r="G62" i="97"/>
  <c r="G63" i="97"/>
  <c r="G64" i="97"/>
  <c r="G65" i="97"/>
  <c r="G66" i="97"/>
  <c r="G67" i="97"/>
  <c r="G68" i="97"/>
  <c r="G69" i="97"/>
  <c r="G70" i="97"/>
  <c r="G71" i="97"/>
  <c r="G72" i="97"/>
  <c r="G73" i="97"/>
  <c r="G74" i="97"/>
  <c r="G75" i="97"/>
  <c r="G76" i="97"/>
  <c r="G77" i="97"/>
  <c r="G78" i="97"/>
  <c r="G79" i="97"/>
  <c r="G80" i="97"/>
  <c r="G81" i="97"/>
  <c r="G82" i="97"/>
  <c r="G83" i="97"/>
  <c r="G84" i="97"/>
  <c r="G85" i="97"/>
  <c r="G86" i="97"/>
  <c r="G87" i="97"/>
  <c r="G88" i="97"/>
  <c r="G89" i="97"/>
  <c r="G90" i="97"/>
  <c r="G91" i="97"/>
  <c r="G92" i="97"/>
  <c r="G93" i="97"/>
  <c r="G94" i="97"/>
  <c r="G95" i="97"/>
  <c r="G96" i="97"/>
  <c r="G97" i="97"/>
  <c r="G98" i="97"/>
  <c r="G99" i="97"/>
  <c r="G100" i="97"/>
  <c r="G101" i="97"/>
  <c r="G102" i="97"/>
  <c r="G103" i="97"/>
  <c r="G104" i="97"/>
  <c r="G105" i="97"/>
  <c r="G106" i="97"/>
  <c r="G107" i="97"/>
  <c r="G108" i="97"/>
  <c r="G109" i="97"/>
  <c r="G110" i="97"/>
  <c r="G111" i="97"/>
  <c r="G112" i="97"/>
  <c r="G113" i="97"/>
  <c r="G114" i="97"/>
  <c r="G115" i="97"/>
  <c r="G116" i="97"/>
  <c r="G117" i="97"/>
  <c r="G118" i="97"/>
  <c r="G119" i="97"/>
  <c r="G120" i="97"/>
  <c r="G121" i="97"/>
  <c r="G122" i="97"/>
  <c r="G123" i="97"/>
  <c r="G124" i="97"/>
  <c r="G125" i="97"/>
  <c r="G126" i="97"/>
  <c r="G127" i="97"/>
  <c r="G128" i="97"/>
  <c r="G129" i="97"/>
  <c r="G130" i="97"/>
  <c r="G131" i="97"/>
  <c r="G132" i="97"/>
  <c r="G133" i="97"/>
  <c r="G134" i="97"/>
  <c r="G135" i="97"/>
  <c r="G136" i="97"/>
  <c r="G137" i="97"/>
  <c r="G138" i="97"/>
  <c r="G139" i="97"/>
  <c r="G140" i="97"/>
  <c r="G141" i="97"/>
  <c r="G142" i="97"/>
  <c r="G143" i="97"/>
  <c r="G144" i="97"/>
  <c r="G145" i="97"/>
  <c r="G146" i="97"/>
  <c r="G147" i="97"/>
  <c r="G148" i="97"/>
  <c r="G149" i="97"/>
  <c r="G150" i="97"/>
  <c r="G151" i="97"/>
  <c r="G152" i="97"/>
  <c r="G153" i="97"/>
  <c r="G154" i="97"/>
  <c r="G155" i="97"/>
  <c r="G156" i="97"/>
  <c r="G157" i="97"/>
  <c r="G158" i="97"/>
  <c r="G159" i="97"/>
  <c r="G160" i="97"/>
  <c r="G161" i="97"/>
  <c r="G162" i="97"/>
  <c r="G163" i="97"/>
  <c r="G164" i="97"/>
  <c r="G165" i="97"/>
  <c r="G166" i="97"/>
  <c r="G167" i="97"/>
  <c r="G168" i="97"/>
  <c r="G169" i="97"/>
  <c r="G170" i="97"/>
  <c r="G171" i="97"/>
  <c r="G172" i="97"/>
  <c r="G173" i="97"/>
  <c r="G174" i="97"/>
  <c r="G175" i="97"/>
  <c r="G176" i="97"/>
  <c r="G177" i="97"/>
  <c r="G178" i="97"/>
  <c r="G179" i="97"/>
  <c r="G180" i="97"/>
  <c r="G181" i="97"/>
  <c r="G182" i="97"/>
  <c r="G183" i="97"/>
  <c r="G184" i="97"/>
  <c r="G185" i="97"/>
  <c r="G186" i="97"/>
  <c r="G187" i="97"/>
  <c r="G188" i="97"/>
  <c r="G189" i="97"/>
  <c r="G190" i="97"/>
  <c r="G191" i="97"/>
  <c r="G192" i="97"/>
  <c r="G193" i="97"/>
  <c r="G194" i="97"/>
  <c r="G195" i="97"/>
  <c r="G196" i="97"/>
  <c r="G197" i="97"/>
  <c r="G198" i="97"/>
  <c r="G199" i="97"/>
  <c r="G200" i="97"/>
  <c r="G201" i="97"/>
  <c r="G202" i="97"/>
  <c r="G203" i="97"/>
  <c r="G204" i="97"/>
  <c r="G205" i="97"/>
  <c r="G206" i="97"/>
  <c r="G207" i="97"/>
  <c r="G208" i="97"/>
  <c r="G209" i="97"/>
  <c r="G210" i="97"/>
  <c r="G211" i="97"/>
  <c r="G212" i="97"/>
  <c r="G213" i="97"/>
  <c r="G214" i="97"/>
  <c r="G215" i="97"/>
  <c r="G216" i="97"/>
  <c r="G217" i="97"/>
  <c r="G218" i="97"/>
  <c r="G219" i="97"/>
  <c r="G220" i="97"/>
  <c r="G221" i="97"/>
  <c r="G222" i="97"/>
  <c r="G223" i="97"/>
  <c r="G224" i="97"/>
  <c r="G225" i="97"/>
  <c r="G226" i="97"/>
  <c r="G227" i="97"/>
  <c r="G228" i="97"/>
  <c r="G229" i="97"/>
  <c r="G230" i="97"/>
  <c r="G231" i="97"/>
  <c r="G232" i="97"/>
  <c r="G233" i="97"/>
  <c r="G234" i="97"/>
  <c r="G235" i="97"/>
  <c r="G236" i="97"/>
  <c r="G237" i="97"/>
  <c r="G238" i="97"/>
  <c r="G239" i="97"/>
  <c r="G240" i="97"/>
  <c r="G241" i="97"/>
  <c r="G242" i="97"/>
  <c r="G243" i="97"/>
  <c r="G244" i="97"/>
  <c r="G245" i="97"/>
  <c r="G246" i="97"/>
  <c r="G247" i="97"/>
  <c r="G248" i="97"/>
  <c r="G249" i="97"/>
  <c r="G250" i="97"/>
  <c r="G251" i="97"/>
  <c r="G252" i="97"/>
  <c r="G253" i="97"/>
  <c r="G254" i="97"/>
  <c r="G255" i="97"/>
  <c r="G256" i="97"/>
  <c r="G257" i="97"/>
  <c r="G258" i="97"/>
  <c r="G259" i="97"/>
  <c r="G260" i="97"/>
  <c r="G261" i="97"/>
  <c r="G262" i="97"/>
  <c r="G263" i="97"/>
  <c r="G264" i="97"/>
  <c r="G265" i="97"/>
  <c r="G266" i="97"/>
  <c r="G267" i="97"/>
  <c r="G268" i="97"/>
  <c r="G269" i="97"/>
  <c r="G270" i="97"/>
  <c r="G271" i="97"/>
  <c r="G272" i="97"/>
  <c r="G273" i="97"/>
  <c r="G274" i="97"/>
  <c r="G275" i="97"/>
  <c r="G276" i="97"/>
  <c r="G277" i="97"/>
  <c r="G278" i="97"/>
  <c r="G279" i="97"/>
  <c r="G280" i="97"/>
  <c r="G281" i="97"/>
  <c r="G282" i="97"/>
  <c r="G283" i="97"/>
  <c r="G284" i="97"/>
  <c r="G285" i="97"/>
  <c r="G286" i="97"/>
  <c r="G287" i="97"/>
  <c r="G288" i="97"/>
  <c r="G289" i="97"/>
  <c r="G290" i="97"/>
  <c r="G291" i="97"/>
  <c r="G292" i="97"/>
  <c r="G293" i="97"/>
  <c r="G294" i="97"/>
  <c r="G295" i="97"/>
  <c r="G296" i="97"/>
  <c r="G297" i="97"/>
  <c r="G298" i="97"/>
  <c r="G299" i="97"/>
  <c r="G300" i="97"/>
  <c r="G301" i="97"/>
  <c r="G302" i="97"/>
  <c r="G303" i="97"/>
  <c r="G304" i="97"/>
  <c r="G305" i="97"/>
  <c r="G306" i="97"/>
  <c r="G307" i="97"/>
  <c r="G308" i="97"/>
  <c r="G309" i="97"/>
  <c r="G310" i="97"/>
  <c r="G311" i="97"/>
  <c r="G312" i="97"/>
  <c r="G313" i="97"/>
  <c r="G314" i="97"/>
  <c r="G315" i="97"/>
  <c r="G316" i="97"/>
  <c r="G317" i="97"/>
  <c r="G318" i="97"/>
  <c r="G319" i="97"/>
  <c r="G320" i="97"/>
  <c r="G321" i="97"/>
  <c r="G322" i="97"/>
  <c r="G323" i="97"/>
  <c r="G324" i="97"/>
  <c r="G325" i="97"/>
  <c r="G326" i="97"/>
  <c r="G327" i="97"/>
  <c r="G328" i="97"/>
  <c r="G329" i="97"/>
  <c r="G330" i="97"/>
  <c r="G331" i="97"/>
  <c r="G332" i="97"/>
  <c r="G333" i="97"/>
  <c r="G334" i="97"/>
  <c r="G335" i="97"/>
  <c r="G336" i="97"/>
  <c r="G337" i="97"/>
  <c r="G338" i="97"/>
  <c r="G339" i="97"/>
  <c r="G340" i="97"/>
  <c r="G341" i="97"/>
  <c r="G342" i="97"/>
  <c r="G343" i="97"/>
  <c r="G344" i="97"/>
  <c r="G345" i="97"/>
  <c r="G346" i="97"/>
  <c r="G347" i="97"/>
  <c r="G348" i="97"/>
  <c r="G349" i="97"/>
  <c r="G350" i="97"/>
  <c r="G351" i="97"/>
  <c r="G352" i="97"/>
  <c r="G353" i="97"/>
  <c r="G354" i="97"/>
  <c r="G355" i="97"/>
  <c r="G356" i="97"/>
  <c r="G357" i="97"/>
  <c r="G358" i="97"/>
  <c r="G359" i="97"/>
  <c r="G360" i="97"/>
  <c r="G361" i="97"/>
  <c r="G362" i="97"/>
  <c r="G363" i="97"/>
  <c r="G364" i="97"/>
  <c r="G365" i="97"/>
  <c r="G366" i="97"/>
  <c r="G367" i="97"/>
  <c r="G368" i="97"/>
  <c r="G369" i="97"/>
  <c r="G370" i="97"/>
  <c r="G371" i="97"/>
  <c r="G372" i="97"/>
  <c r="G373" i="97"/>
  <c r="G374" i="97"/>
  <c r="G375" i="97"/>
  <c r="G376" i="97"/>
  <c r="G377" i="97"/>
  <c r="G378" i="97"/>
  <c r="G379" i="97"/>
  <c r="G380" i="97"/>
  <c r="G381" i="97"/>
  <c r="G382" i="97"/>
  <c r="G383" i="97"/>
  <c r="G384" i="97"/>
  <c r="G385" i="97"/>
  <c r="G386" i="97"/>
  <c r="G387" i="97"/>
  <c r="G388" i="97"/>
  <c r="G389" i="97"/>
  <c r="G390" i="97"/>
  <c r="G391" i="97"/>
  <c r="G392" i="97"/>
  <c r="G393" i="97"/>
  <c r="G394" i="97"/>
  <c r="G395" i="97"/>
  <c r="G396" i="97"/>
  <c r="G397" i="97"/>
  <c r="G398" i="97"/>
  <c r="G399" i="97"/>
  <c r="G400" i="97"/>
  <c r="G401" i="97"/>
  <c r="G402" i="97"/>
  <c r="G403" i="97"/>
  <c r="G404" i="97"/>
  <c r="G405" i="97"/>
  <c r="G406" i="97"/>
  <c r="G407" i="97"/>
  <c r="G408" i="97"/>
  <c r="G409" i="97"/>
  <c r="G410" i="97"/>
  <c r="G411" i="97"/>
  <c r="G412" i="97"/>
  <c r="G413" i="97"/>
  <c r="G414" i="97"/>
  <c r="G415" i="97"/>
  <c r="G416" i="97"/>
  <c r="G417" i="97"/>
  <c r="G418" i="97"/>
  <c r="G419" i="97"/>
  <c r="G420" i="97"/>
  <c r="G421" i="97"/>
  <c r="G422" i="97"/>
  <c r="G423" i="97"/>
  <c r="G424" i="97"/>
  <c r="G425" i="97"/>
  <c r="G426" i="97"/>
  <c r="G427" i="97"/>
  <c r="G428" i="97"/>
  <c r="G429" i="97"/>
  <c r="G430" i="97"/>
  <c r="G431" i="97"/>
  <c r="G432" i="97"/>
  <c r="G433" i="97"/>
  <c r="G434" i="97"/>
  <c r="G435" i="97"/>
  <c r="G436" i="97"/>
  <c r="G437" i="97"/>
  <c r="G438" i="97"/>
  <c r="G439" i="97"/>
  <c r="G440" i="97"/>
  <c r="G441" i="97"/>
  <c r="G442" i="97"/>
  <c r="G443" i="97"/>
  <c r="G444" i="97"/>
  <c r="G445" i="97"/>
  <c r="G446" i="97"/>
  <c r="G447" i="97"/>
  <c r="G448" i="97"/>
  <c r="G449" i="97"/>
  <c r="G450" i="97"/>
  <c r="G451" i="97"/>
  <c r="G452" i="97"/>
  <c r="G453" i="97"/>
  <c r="G454" i="97"/>
  <c r="G455" i="97"/>
  <c r="G456" i="97"/>
  <c r="G457" i="97"/>
  <c r="G458" i="97"/>
  <c r="G459" i="97"/>
  <c r="G460" i="97"/>
  <c r="G461" i="97"/>
  <c r="G462" i="97"/>
  <c r="G463" i="97"/>
  <c r="G464" i="97"/>
  <c r="G465" i="97"/>
  <c r="G466" i="97"/>
  <c r="G467" i="97"/>
  <c r="G468" i="97"/>
  <c r="G469" i="97"/>
  <c r="G470" i="97"/>
  <c r="G471" i="97"/>
  <c r="G472" i="97"/>
  <c r="G473" i="97"/>
  <c r="G474" i="97"/>
  <c r="G475" i="97"/>
  <c r="G476" i="97"/>
  <c r="G477" i="97"/>
  <c r="G478" i="97"/>
  <c r="G479" i="97"/>
  <c r="G480" i="97"/>
  <c r="G481" i="97"/>
  <c r="G482" i="97"/>
  <c r="G483" i="97"/>
  <c r="G484" i="97"/>
  <c r="G485" i="97"/>
  <c r="G486" i="97"/>
  <c r="G487" i="97"/>
  <c r="G488" i="97"/>
  <c r="G489" i="97"/>
  <c r="G490" i="97"/>
  <c r="G491" i="97"/>
  <c r="G492" i="97"/>
  <c r="G493" i="97"/>
  <c r="G494" i="97"/>
  <c r="G495" i="97"/>
  <c r="G496" i="97"/>
  <c r="G497" i="97"/>
  <c r="G498" i="97"/>
  <c r="G499" i="97"/>
  <c r="G500" i="97"/>
  <c r="G501" i="97"/>
  <c r="G502" i="97"/>
  <c r="G503" i="97"/>
  <c r="G504" i="97"/>
  <c r="G505" i="97"/>
  <c r="G506" i="97"/>
  <c r="G507" i="97"/>
  <c r="G508" i="97"/>
  <c r="G509" i="97"/>
  <c r="G510" i="97"/>
  <c r="G511" i="97"/>
  <c r="G512" i="97"/>
  <c r="G513" i="97"/>
  <c r="G514" i="97"/>
  <c r="G515" i="97"/>
  <c r="G516" i="97"/>
  <c r="G517" i="97"/>
  <c r="G518" i="97"/>
  <c r="G519" i="97"/>
  <c r="G520" i="97"/>
  <c r="G521" i="97"/>
  <c r="G522" i="97"/>
  <c r="G523" i="97"/>
  <c r="G524" i="97"/>
  <c r="G525" i="97"/>
  <c r="G526" i="97"/>
  <c r="G527" i="97"/>
  <c r="G528" i="97"/>
  <c r="G529" i="97"/>
  <c r="G530" i="97"/>
  <c r="G531" i="97"/>
  <c r="G532" i="97"/>
  <c r="G533" i="97"/>
  <c r="G534" i="97"/>
  <c r="G535" i="97"/>
  <c r="G536" i="97"/>
  <c r="G537" i="97"/>
  <c r="G538" i="97"/>
  <c r="G539" i="97"/>
  <c r="G540" i="97"/>
  <c r="G541" i="97"/>
  <c r="G542" i="97"/>
  <c r="G543" i="97"/>
  <c r="G544" i="97"/>
  <c r="G545" i="97"/>
  <c r="G546" i="97"/>
  <c r="G547" i="97"/>
  <c r="G548" i="97"/>
  <c r="G549" i="97"/>
  <c r="G550" i="97"/>
  <c r="G551" i="97"/>
  <c r="G552" i="97"/>
  <c r="G553" i="97"/>
  <c r="G554" i="97"/>
  <c r="G555" i="97"/>
  <c r="G556" i="97"/>
  <c r="G557" i="97"/>
  <c r="G558" i="97"/>
  <c r="G559" i="97"/>
  <c r="G560" i="97"/>
  <c r="G561" i="97"/>
  <c r="G562" i="97"/>
  <c r="G563" i="97"/>
  <c r="G564" i="97"/>
  <c r="G565" i="97"/>
  <c r="G566" i="97"/>
  <c r="G567" i="97"/>
  <c r="G568" i="97"/>
  <c r="G569" i="97"/>
  <c r="G570" i="97"/>
  <c r="G571" i="97"/>
  <c r="G572" i="97"/>
  <c r="G573" i="97"/>
  <c r="G574" i="97"/>
  <c r="G575" i="97"/>
  <c r="G576" i="97"/>
  <c r="G577" i="97"/>
  <c r="G578" i="97"/>
  <c r="G579" i="97"/>
  <c r="G580" i="97"/>
  <c r="G581" i="97"/>
  <c r="G582" i="97"/>
  <c r="G583" i="97"/>
  <c r="G584" i="97"/>
  <c r="G585" i="97"/>
  <c r="G586" i="97"/>
  <c r="G587" i="97"/>
  <c r="G588" i="97"/>
  <c r="G589" i="97"/>
  <c r="G590" i="97"/>
  <c r="G591" i="97"/>
  <c r="G592" i="97"/>
  <c r="G593" i="97"/>
  <c r="G594" i="97"/>
  <c r="G595" i="97"/>
  <c r="G596" i="97"/>
  <c r="G597" i="97"/>
  <c r="G598" i="97"/>
  <c r="G599" i="97"/>
  <c r="G600" i="97"/>
  <c r="G601" i="97"/>
  <c r="G602" i="97"/>
  <c r="G603" i="97"/>
  <c r="G604" i="97"/>
  <c r="G605" i="97"/>
  <c r="G606" i="97"/>
  <c r="G607" i="97"/>
  <c r="G608" i="97"/>
  <c r="G609" i="97"/>
  <c r="G610" i="97"/>
  <c r="G611" i="97"/>
  <c r="G612" i="97"/>
  <c r="G613" i="97"/>
  <c r="G614" i="97"/>
  <c r="G615" i="97"/>
  <c r="G616" i="97"/>
  <c r="G617" i="97"/>
  <c r="G618" i="97"/>
  <c r="G619" i="97"/>
  <c r="G620" i="97"/>
  <c r="G621" i="97"/>
  <c r="G622" i="97"/>
  <c r="G623" i="97"/>
  <c r="G624" i="97"/>
  <c r="G625" i="97"/>
  <c r="G626" i="97"/>
  <c r="G627" i="97"/>
  <c r="G628" i="97"/>
  <c r="G629" i="97"/>
  <c r="G630" i="97"/>
  <c r="G631" i="97"/>
  <c r="G632" i="97"/>
  <c r="G633" i="97"/>
  <c r="G634" i="97"/>
  <c r="G635" i="97"/>
  <c r="G636" i="97"/>
  <c r="G637" i="97"/>
  <c r="G638" i="97"/>
  <c r="G639" i="97"/>
  <c r="G640" i="97"/>
  <c r="G641" i="97"/>
  <c r="G642" i="97"/>
  <c r="G643" i="97"/>
  <c r="G644" i="97"/>
  <c r="G645" i="97"/>
  <c r="G646" i="97"/>
  <c r="G647" i="97"/>
  <c r="G648" i="97"/>
  <c r="G649" i="97"/>
  <c r="G650" i="97"/>
  <c r="G651" i="97"/>
  <c r="G652" i="97"/>
  <c r="G653" i="97"/>
  <c r="G654" i="97"/>
  <c r="G655" i="97"/>
  <c r="G656" i="97"/>
  <c r="G657" i="97"/>
  <c r="G658" i="97"/>
  <c r="G659" i="97"/>
  <c r="G660" i="97"/>
  <c r="G661" i="97"/>
  <c r="G662" i="97"/>
  <c r="G663" i="97"/>
  <c r="G664" i="97"/>
  <c r="G665" i="97"/>
  <c r="G666" i="97"/>
  <c r="G667" i="97"/>
  <c r="G668" i="97"/>
  <c r="G669" i="97"/>
  <c r="G670" i="97"/>
  <c r="G671" i="97"/>
  <c r="G672" i="97"/>
  <c r="G673" i="97"/>
  <c r="G674" i="97"/>
  <c r="G675" i="97"/>
  <c r="G676" i="97"/>
  <c r="G677" i="97"/>
  <c r="G678" i="97"/>
  <c r="G679" i="97"/>
  <c r="G680" i="97"/>
  <c r="G681" i="97"/>
  <c r="G682" i="97"/>
  <c r="G683" i="97"/>
  <c r="G684" i="97"/>
  <c r="G685" i="97"/>
  <c r="G686" i="97"/>
  <c r="G687" i="97"/>
  <c r="G688" i="97"/>
  <c r="G689" i="97"/>
  <c r="G690" i="97"/>
  <c r="G691" i="97"/>
  <c r="G692" i="97"/>
  <c r="G693" i="97"/>
  <c r="G694" i="97"/>
  <c r="G695" i="97"/>
  <c r="G696" i="97"/>
  <c r="G697" i="97"/>
  <c r="G698" i="97"/>
  <c r="G699" i="97"/>
  <c r="G700" i="97"/>
  <c r="G701" i="97"/>
  <c r="G702" i="97"/>
  <c r="G703" i="97"/>
  <c r="G704" i="97"/>
  <c r="G705" i="97"/>
  <c r="G706" i="97"/>
  <c r="G707" i="97"/>
  <c r="G708" i="97"/>
  <c r="G709" i="97"/>
  <c r="G710" i="97"/>
  <c r="G711" i="97"/>
  <c r="G712" i="97"/>
  <c r="G713" i="97"/>
  <c r="G714" i="97"/>
  <c r="G715" i="97"/>
  <c r="G716" i="97"/>
  <c r="G717" i="97"/>
  <c r="G718" i="97"/>
  <c r="G719" i="97"/>
  <c r="G720" i="97"/>
  <c r="G721" i="97"/>
  <c r="G722" i="97"/>
  <c r="G723" i="97"/>
  <c r="G724" i="97"/>
  <c r="G725" i="97"/>
  <c r="G726" i="97"/>
  <c r="G727" i="97"/>
  <c r="G728" i="97"/>
  <c r="G729" i="97"/>
  <c r="G730" i="97"/>
  <c r="G731" i="97"/>
  <c r="G732" i="97"/>
  <c r="G733" i="97"/>
  <c r="G734" i="97"/>
  <c r="G735" i="97"/>
  <c r="G2" i="97" l="1"/>
  <c r="BZ3" i="3" l="1"/>
  <c r="BZ4" i="3"/>
  <c r="BZ5" i="3"/>
  <c r="BZ6" i="3"/>
  <c r="BZ7" i="3"/>
  <c r="BZ8" i="3"/>
  <c r="BZ9" i="3"/>
  <c r="BZ10" i="3"/>
  <c r="BZ11" i="3"/>
  <c r="BZ12" i="3"/>
  <c r="BZ13" i="3"/>
  <c r="BZ14" i="3"/>
  <c r="BZ15" i="3"/>
  <c r="BZ16" i="3"/>
  <c r="BZ17" i="3"/>
  <c r="BZ18" i="3"/>
  <c r="BZ19" i="3"/>
  <c r="BZ20" i="3"/>
  <c r="BZ21" i="3"/>
  <c r="BZ22" i="3"/>
  <c r="BZ23" i="3"/>
  <c r="BZ24" i="3"/>
  <c r="BZ25" i="3"/>
  <c r="BZ26" i="3"/>
  <c r="BZ27" i="3"/>
  <c r="BZ28" i="3"/>
  <c r="BZ29" i="3"/>
  <c r="BZ30" i="3"/>
  <c r="BZ31" i="3"/>
  <c r="BZ32" i="3"/>
  <c r="BZ33" i="3"/>
  <c r="BZ34" i="3"/>
  <c r="BZ35" i="3"/>
  <c r="BZ36" i="3"/>
  <c r="BZ37" i="3"/>
  <c r="BZ38" i="3"/>
  <c r="BZ39" i="3"/>
  <c r="BZ40" i="3"/>
  <c r="BZ41" i="3"/>
  <c r="BZ42" i="3"/>
  <c r="BZ43" i="3"/>
  <c r="BZ44" i="3"/>
  <c r="BZ45" i="3"/>
  <c r="BZ46" i="3"/>
  <c r="BZ47" i="3"/>
  <c r="BZ48" i="3"/>
  <c r="BZ49" i="3"/>
  <c r="BZ50" i="3"/>
  <c r="BZ51" i="3"/>
  <c r="BZ52" i="3"/>
  <c r="BZ53" i="3"/>
  <c r="BZ54" i="3"/>
  <c r="BZ55" i="3"/>
  <c r="BZ56" i="3"/>
  <c r="BZ57" i="3"/>
  <c r="BZ58" i="3"/>
  <c r="BZ59" i="3"/>
  <c r="BZ60" i="3"/>
  <c r="BZ61" i="3"/>
  <c r="BZ62" i="3"/>
  <c r="BZ63" i="3"/>
  <c r="BZ64" i="3"/>
  <c r="BZ65" i="3"/>
  <c r="BZ66" i="3"/>
  <c r="BZ67" i="3"/>
  <c r="BZ68" i="3"/>
  <c r="BZ69" i="3"/>
  <c r="BZ70" i="3"/>
  <c r="BZ71" i="3"/>
  <c r="BZ72" i="3"/>
  <c r="BZ73" i="3"/>
  <c r="BZ74" i="3"/>
  <c r="BZ75" i="3"/>
  <c r="BZ76" i="3"/>
  <c r="BZ77" i="3"/>
  <c r="BZ78" i="3"/>
  <c r="BZ79" i="3"/>
  <c r="BZ80" i="3"/>
  <c r="BZ81" i="3"/>
  <c r="BZ82" i="3"/>
  <c r="BZ83" i="3"/>
  <c r="BZ2" i="3"/>
  <c r="CF3" i="3"/>
  <c r="CF4" i="3"/>
  <c r="CF5" i="3"/>
  <c r="CF6" i="3"/>
  <c r="CF7" i="3"/>
  <c r="CF8" i="3"/>
  <c r="CF9" i="3"/>
  <c r="CF10" i="3"/>
  <c r="CF11" i="3"/>
  <c r="CF12" i="3"/>
  <c r="CF13" i="3"/>
  <c r="CF14" i="3"/>
  <c r="CF15" i="3"/>
  <c r="CF16" i="3"/>
  <c r="CF17" i="3"/>
  <c r="CF18" i="3"/>
  <c r="CF19" i="3"/>
  <c r="CF20" i="3"/>
  <c r="CF21" i="3"/>
  <c r="CF22" i="3"/>
  <c r="CF23" i="3"/>
  <c r="CF24" i="3"/>
  <c r="CF25" i="3"/>
  <c r="CF26" i="3"/>
  <c r="CF27" i="3"/>
  <c r="CF28" i="3"/>
  <c r="CF29" i="3"/>
  <c r="CF30" i="3"/>
  <c r="CF31" i="3"/>
  <c r="CF32" i="3"/>
  <c r="CF33" i="3"/>
  <c r="CF34" i="3"/>
  <c r="CF35" i="3"/>
  <c r="CF36" i="3"/>
  <c r="CF37" i="3"/>
  <c r="CF38" i="3"/>
  <c r="CF39" i="3"/>
  <c r="CF40" i="3"/>
  <c r="CF41" i="3"/>
  <c r="CF42" i="3"/>
  <c r="CF43" i="3"/>
  <c r="CF44" i="3"/>
  <c r="CF45" i="3"/>
  <c r="CF46" i="3"/>
  <c r="CF47" i="3"/>
  <c r="CF48" i="3"/>
  <c r="CF49" i="3"/>
  <c r="CF50" i="3"/>
  <c r="CF51" i="3"/>
  <c r="CF52" i="3"/>
  <c r="CF53" i="3"/>
  <c r="CF54" i="3"/>
  <c r="CF55" i="3"/>
  <c r="CF56" i="3"/>
  <c r="CF57" i="3"/>
  <c r="CF58" i="3"/>
  <c r="CF59" i="3"/>
  <c r="CF60" i="3"/>
  <c r="CF2" i="3"/>
  <c r="B2" i="3"/>
  <c r="E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Lucas Miranda (DHL PA)</author>
  </authors>
  <commentList>
    <comment ref="X1" authorId="0" shapeId="0" xr:uid="{9AE40DD6-8ACE-4AD4-BC63-884036ED8C9A}">
      <text>
        <r>
          <rPr>
            <b/>
            <sz val="9"/>
            <color indexed="81"/>
            <rFont val="Tahoma"/>
            <family val="2"/>
          </rPr>
          <t>No usar! Se requiere en la programación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Lucas Miranda (DHL PA)</author>
  </authors>
  <commentList>
    <comment ref="A1" authorId="0" shapeId="0" xr:uid="{D25A6108-49FF-4A77-A7DD-2C03E7AA6541}">
      <text>
        <r>
          <rPr>
            <sz val="9"/>
            <color indexed="81"/>
            <rFont val="Tahoma"/>
            <family val="2"/>
          </rPr>
          <t>ctrl + shift + A nueva tarea</t>
        </r>
      </text>
    </comment>
    <comment ref="I1" authorId="0" shapeId="0" xr:uid="{A0A6694A-B94B-4CB5-9F0E-CBE83C0FF026}">
      <text>
        <r>
          <rPr>
            <sz val="9"/>
            <color indexed="81"/>
            <rFont val="Tahoma"/>
            <family val="2"/>
          </rPr>
          <t>Solo para tareas semanales</t>
        </r>
      </text>
    </comment>
    <comment ref="J1" authorId="0" shapeId="0" xr:uid="{7BE0B585-09A0-4283-B9DD-C449BBA3A322}">
      <text>
        <r>
          <rPr>
            <sz val="9"/>
            <color indexed="81"/>
            <rFont val="Tahoma"/>
            <family val="2"/>
          </rPr>
          <t>Solo tareas mensuales (colocar solo el día del mes).</t>
        </r>
      </text>
    </comment>
  </commentList>
</comments>
</file>

<file path=xl/sharedStrings.xml><?xml version="1.0" encoding="utf-8"?>
<sst xmlns="http://schemas.openxmlformats.org/spreadsheetml/2006/main" count="9183" uniqueCount="2207">
  <si>
    <t>Glosario</t>
  </si>
  <si>
    <t>Acrónimo / Sigla</t>
  </si>
  <si>
    <t>Definición / Descripción</t>
  </si>
  <si>
    <t>COE</t>
  </si>
  <si>
    <t>Centro de Excelencia (Centre of Excellence)</t>
  </si>
  <si>
    <t>KPI</t>
  </si>
  <si>
    <t>Key Performance Indicator (Indicador Clave de Desempeño)</t>
  </si>
  <si>
    <t>CSD</t>
  </si>
  <si>
    <t>Customer Service Development</t>
  </si>
  <si>
    <t>FL</t>
  </si>
  <si>
    <t>Frontline</t>
  </si>
  <si>
    <t>BL</t>
  </si>
  <si>
    <t>Backline</t>
  </si>
  <si>
    <t>KAD</t>
  </si>
  <si>
    <t>Key Account Desk</t>
  </si>
  <si>
    <t>RTA</t>
  </si>
  <si>
    <t>Real Time Analyst</t>
  </si>
  <si>
    <t>BCP</t>
  </si>
  <si>
    <t>Business Continuity Plan (Plan de Continuidad del Negocio)</t>
  </si>
  <si>
    <t>SLA</t>
  </si>
  <si>
    <t>Service Level Agreement (Acuerdo de Nivel de Servicio)</t>
  </si>
  <si>
    <t>GSC</t>
  </si>
  <si>
    <t>Global Service Centre (Centro de Servicio Global)</t>
  </si>
  <si>
    <t>QM</t>
  </si>
  <si>
    <t>Quality Monitoring (Monitoreo de Calidad)</t>
  </si>
  <si>
    <t>FRE</t>
  </si>
  <si>
    <t>First Rate Evaluation</t>
  </si>
  <si>
    <t>EOS</t>
  </si>
  <si>
    <t>Employee Opinion Survey (Encuesta de Clima Laboral)</t>
  </si>
  <si>
    <t>SOP</t>
  </si>
  <si>
    <t>Standard Operating Procedure (Procedimiento Operativo Estándar)</t>
  </si>
  <si>
    <t>RB</t>
  </si>
  <si>
    <t>Remote Bookings (Reservas Remotas)</t>
  </si>
  <si>
    <t>OSS</t>
  </si>
  <si>
    <t>Optional Services (Servicios Opcionales)</t>
  </si>
  <si>
    <t>KART</t>
  </si>
  <si>
    <t>Key Account Reporting Tool (Herramienta de Reporteo de Cuentas Clave)</t>
  </si>
  <si>
    <t>GVA</t>
  </si>
  <si>
    <t>Global Virtual Assistant (Asistente Virtual Global)</t>
  </si>
  <si>
    <t>IVR</t>
  </si>
  <si>
    <t>Interactive Voice Response</t>
  </si>
  <si>
    <t>AA</t>
  </si>
  <si>
    <t>Auto Attendant (Asistente Automático)</t>
  </si>
  <si>
    <t>RCA</t>
  </si>
  <si>
    <t>Root Cause Analysis (Análisis de Causa Raíz)</t>
  </si>
  <si>
    <t>PPMT</t>
  </si>
  <si>
    <t>Performance &amp; Productivity Measurement Tool (Herramienta de Medición de Desempeño y Productividad)</t>
  </si>
  <si>
    <t>IMSP</t>
  </si>
  <si>
    <t>Individual Monitoring Self-Placement (Auto-Monitoreo Individual)</t>
  </si>
  <si>
    <t>Guía Rápida de Uso - Sistema de Gestión de Tareas COE</t>
  </si>
  <si>
    <t>1. Propósito de la Herramienta</t>
  </si>
  <si>
    <t>¡Bienvenido/a al Sistema de Gestión de Tareas COE! Esta herramienta ha sido diseñada para ayudarnos a todos a ejecutar de manera disciplinada las tareas de nuestra auditoría continua. Su objetivo es darnos claridad sobre nuestras responsabilidades diarias, facilitar el seguimiento y asegurar que, como equipo, alcancemos la excelencia operativa.</t>
  </si>
  <si>
    <t>2. Reglas de Oro (¡Para Trabajar en Equipo!)</t>
  </si>
  <si>
    <t>Esta herramienta es un archivo compartido. Para que funcione bien para todos, debemos seguir estas reglas:</t>
  </si>
  <si>
    <r>
      <t>Ubicación Central:</t>
    </r>
    <r>
      <rPr>
        <sz val="12"/>
        <color theme="1"/>
        <rFont val="Times New Roman"/>
        <family val="1"/>
      </rPr>
      <t xml:space="preserve"> El archivo vivirá en una carpeta compartida (SharePoint, Teams, etc.). Trabaja siempre sobre esa versión central.</t>
    </r>
  </si>
  <si>
    <r>
      <t>El Ritual de la Mañana:</t>
    </r>
    <r>
      <rPr>
        <sz val="12"/>
        <color theme="1"/>
        <rFont val="Times New Roman"/>
        <family val="1"/>
      </rPr>
      <t xml:space="preserve"> El botón </t>
    </r>
    <r>
      <rPr>
        <b/>
        <sz val="12"/>
        <color theme="1"/>
        <rFont val="Times New Roman"/>
        <family val="1"/>
      </rPr>
      <t>"Generar / Actualizar Tareas de Hoy" (</t>
    </r>
    <r>
      <rPr>
        <b/>
        <sz val="12"/>
        <color rgb="FFFF0000"/>
        <rFont val="Times New Roman"/>
        <family val="1"/>
      </rPr>
      <t>Ctrl + Shift + G</t>
    </r>
    <r>
      <rPr>
        <b/>
        <sz val="12"/>
        <color theme="1"/>
        <rFont val="Times New Roman"/>
        <family val="1"/>
      </rPr>
      <t>)</t>
    </r>
    <r>
      <rPr>
        <sz val="12"/>
        <color theme="1"/>
        <rFont val="Times New Roman"/>
        <family val="1"/>
      </rPr>
      <t xml:space="preserve"> debe ser presionado </t>
    </r>
    <r>
      <rPr>
        <b/>
        <sz val="12"/>
        <color theme="1"/>
        <rFont val="Times New Roman"/>
        <family val="1"/>
      </rPr>
      <t>UNA SOLA VEZ AL DÍA</t>
    </r>
    <r>
      <rPr>
        <sz val="12"/>
        <color theme="1"/>
        <rFont val="Times New Roman"/>
        <family val="1"/>
      </rPr>
      <t>, a primera hora. El primer Supervisor o Gerente que inicie sesión se encargará de este ritual. Esto prepara el "campo de juego" para todos.</t>
    </r>
  </si>
  <si>
    <r>
      <t>Guarda y Cierra:</t>
    </r>
    <r>
      <rPr>
        <sz val="12"/>
        <color theme="1"/>
        <rFont val="Times New Roman"/>
        <family val="1"/>
      </rPr>
      <t xml:space="preserve"> Cuando termines de actualizar tus tareas, por favor, guarda los cambios y cierra el archivo para que quede disponible para tus compañeros. Si solo necesitas consultar algo rápido, puedes abrirlo en modo "Solo Lectura".</t>
    </r>
  </si>
  <si>
    <t>3. Tu Flujo de Trabajo Diario (Para todos los Roles)</t>
  </si>
  <si>
    <r>
      <t>1. Abre el archivo</t>
    </r>
    <r>
      <rPr>
        <sz val="12"/>
        <color theme="1"/>
        <rFont val="Times New Roman"/>
        <family val="1"/>
      </rPr>
      <t xml:space="preserve"> desde la ubicación compartida.</t>
    </r>
  </si>
  <si>
    <r>
      <t>2. Ve a la hoja Dashboard</t>
    </r>
    <r>
      <rPr>
        <sz val="12"/>
        <color theme="1"/>
        <rFont val="Times New Roman"/>
        <family val="1"/>
      </rPr>
      <t>.</t>
    </r>
  </si>
  <si>
    <t>3. Ve a la hoja Tareas_Hoy y filtra las tareas pendientes y vencidas según tu Rol</t>
  </si>
  <si>
    <t>4. ¡A trabajar!</t>
  </si>
  <si>
    <r>
      <t>Para completar una tarea:</t>
    </r>
    <r>
      <rPr>
        <sz val="12"/>
        <color theme="1"/>
        <rFont val="Times New Roman"/>
        <family val="1"/>
      </rPr>
      <t xml:space="preserve"> Ve a la columna F (Estado) y cámbiala a </t>
    </r>
    <r>
      <rPr>
        <b/>
        <sz val="12"/>
        <color theme="1"/>
        <rFont val="Times New Roman"/>
        <family val="1"/>
      </rPr>
      <t>"Completada"</t>
    </r>
    <r>
      <rPr>
        <sz val="12"/>
        <color theme="1"/>
        <rFont val="Times New Roman"/>
        <family val="1"/>
      </rPr>
      <t>. La fecha se añadirá automáticamente.</t>
    </r>
  </si>
  <si>
    <r>
      <t xml:space="preserve">     Para asignar un responsable específico:</t>
    </r>
    <r>
      <rPr>
        <sz val="12"/>
        <color theme="1"/>
        <rFont val="Times New Roman"/>
        <family val="1"/>
      </rPr>
      <t xml:space="preserve"> Si una tarea es tuya pero quieres asignársela a una persona de tu equipo, usa el menú desplegable de la columna O (Responsable (Nombre)).</t>
    </r>
    <r>
      <rPr>
        <b/>
        <sz val="12"/>
        <color theme="1"/>
        <rFont val="Times New Roman"/>
        <family val="1"/>
      </rPr>
      <t xml:space="preserve"> </t>
    </r>
    <r>
      <rPr>
        <sz val="12"/>
        <color theme="1"/>
        <rFont val="Times New Roman"/>
        <family val="1"/>
      </rPr>
      <t>Si dejas este campo en blanco entenderá que todos los miembros del equipo hacen esa tarea</t>
    </r>
  </si>
  <si>
    <r>
      <t xml:space="preserve">     Para añadir evidencia:</t>
    </r>
    <r>
      <rPr>
        <sz val="12"/>
        <color theme="1"/>
        <rFont val="Times New Roman"/>
        <family val="1"/>
      </rPr>
      <t xml:space="preserve"> Pega el link a tu reporte o documento en la columna I (Link_Evidencia_Real). Si es la primera vez que añades un link a esa tarea, la herramienta te preguntará si quieres guardarlo como permanente.</t>
    </r>
  </si>
  <si>
    <t>4. Funciones Avanzadas y de Administración</t>
  </si>
  <si>
    <t>Editar una Tarea Maestra:</t>
  </si>
  <si>
    <r>
      <t xml:space="preserve">      ¿Ves que una tarea tiene una descripción incorrecta o una frecuencia que hay que cambiar? Ve a la hoja </t>
    </r>
    <r>
      <rPr>
        <b/>
        <sz val="12"/>
        <color theme="1"/>
        <rFont val="Times New Roman"/>
        <family val="1"/>
      </rPr>
      <t>Tareas_Hoy</t>
    </r>
    <r>
      <rPr>
        <sz val="12"/>
        <color theme="1"/>
        <rFont val="Times New Roman"/>
        <family val="1"/>
      </rPr>
      <t xml:space="preserve"> o </t>
    </r>
    <r>
      <rPr>
        <b/>
        <sz val="12"/>
        <color theme="1"/>
        <rFont val="Times New Roman"/>
        <family val="1"/>
      </rPr>
      <t>Tareas_Maestro</t>
    </r>
    <r>
      <rPr>
        <sz val="12"/>
        <color theme="1"/>
        <rFont val="Times New Roman"/>
        <family val="1"/>
      </rPr>
      <t>, selecciona cualquier celda en la fila de esa tarea y presiona el atajo de teclado</t>
    </r>
    <r>
      <rPr>
        <sz val="12"/>
        <color rgb="FFFF0000"/>
        <rFont val="Times New Roman"/>
        <family val="1"/>
      </rPr>
      <t xml:space="preserve"> </t>
    </r>
    <r>
      <rPr>
        <b/>
        <sz val="12"/>
        <color rgb="FFFF0000"/>
        <rFont val="Times New Roman"/>
        <family val="1"/>
      </rPr>
      <t>Ctrl + Shift + E</t>
    </r>
    <r>
      <rPr>
        <sz val="12"/>
        <color theme="1"/>
        <rFont val="Times New Roman"/>
        <family val="1"/>
      </rPr>
      <t>. Se abrirá el editor.</t>
    </r>
  </si>
  <si>
    <r>
      <t>Agregar una Nueva Tarea Maestra (</t>
    </r>
    <r>
      <rPr>
        <b/>
        <sz val="12"/>
        <color rgb="FFFF0000"/>
        <rFont val="Times New Roman"/>
        <family val="1"/>
      </rPr>
      <t>Ctrl + Shift + A</t>
    </r>
    <r>
      <rPr>
        <b/>
        <sz val="12"/>
        <color theme="1"/>
        <rFont val="Times New Roman"/>
        <family val="1"/>
      </rPr>
      <t>):</t>
    </r>
  </si>
  <si>
    <r>
      <t xml:space="preserve">      En el Dashboard, presiona el botón </t>
    </r>
    <r>
      <rPr>
        <b/>
        <sz val="12"/>
        <color theme="1"/>
        <rFont val="Times New Roman"/>
        <family val="1"/>
      </rPr>
      <t>"Agregar Nueva Tarea Maestra"</t>
    </r>
    <r>
      <rPr>
        <sz val="12"/>
        <color theme="1"/>
        <rFont val="Times New Roman"/>
        <family val="1"/>
      </rPr>
      <t>. Rellena los campos esenciales en el formulario que aparece (</t>
    </r>
    <r>
      <rPr>
        <b/>
        <sz val="12"/>
        <color theme="1"/>
        <rFont val="Times New Roman"/>
        <family val="1"/>
      </rPr>
      <t>Mandatorios</t>
    </r>
    <r>
      <rPr>
        <sz val="12"/>
        <color theme="1"/>
        <rFont val="Times New Roman"/>
        <family val="1"/>
      </rPr>
      <t>: Punto COE, Responsable, Nombre de la Tarea y Frecuencia).</t>
    </r>
  </si>
  <si>
    <r>
      <t xml:space="preserve">      Tambien se pueden editar las tareas generadas en el mismo </t>
    </r>
    <r>
      <rPr>
        <b/>
        <sz val="12"/>
        <color theme="1"/>
        <rFont val="Times New Roman"/>
        <family val="1"/>
      </rPr>
      <t>Tareas_Maestro</t>
    </r>
    <r>
      <rPr>
        <sz val="12"/>
        <color theme="1"/>
        <rFont val="Times New Roman"/>
        <family val="1"/>
      </rPr>
      <t xml:space="preserve"> (pero solo algunos campos que no están protegidos). 
</t>
    </r>
    <r>
      <rPr>
        <b/>
        <sz val="12"/>
        <color theme="1"/>
        <rFont val="Times New Roman"/>
        <family val="1"/>
      </rPr>
      <t xml:space="preserve">   Aclaración de la frecuencia:</t>
    </r>
    <r>
      <rPr>
        <sz val="12"/>
        <color theme="1"/>
        <rFont val="Times New Roman"/>
        <family val="1"/>
      </rPr>
      <t xml:space="preserve"> Para las tareas </t>
    </r>
    <r>
      <rPr>
        <b/>
        <sz val="12"/>
        <color theme="1"/>
        <rFont val="Times New Roman"/>
        <family val="1"/>
      </rPr>
      <t>anuales</t>
    </r>
    <r>
      <rPr>
        <sz val="12"/>
        <color theme="1"/>
        <rFont val="Times New Roman"/>
        <family val="1"/>
      </rPr>
      <t xml:space="preserve"> tomará el 1er día hábil del año; para las </t>
    </r>
    <r>
      <rPr>
        <b/>
        <sz val="12"/>
        <color theme="1"/>
        <rFont val="Times New Roman"/>
        <family val="1"/>
      </rPr>
      <t>semestrales</t>
    </r>
    <r>
      <rPr>
        <sz val="12"/>
        <color theme="1"/>
        <rFont val="Times New Roman"/>
        <family val="1"/>
      </rPr>
      <t xml:space="preserve"> el 1ro del semestre; para las </t>
    </r>
    <r>
      <rPr>
        <b/>
        <sz val="12"/>
        <color theme="1"/>
        <rFont val="Times New Roman"/>
        <family val="1"/>
      </rPr>
      <t>trimestrales</t>
    </r>
    <r>
      <rPr>
        <sz val="12"/>
        <color theme="1"/>
        <rFont val="Times New Roman"/>
        <family val="1"/>
      </rPr>
      <t xml:space="preserve"> el 1ro del trimestre; para las </t>
    </r>
    <r>
      <rPr>
        <b/>
        <sz val="12"/>
        <color theme="1"/>
        <rFont val="Times New Roman"/>
        <family val="1"/>
      </rPr>
      <t>mensuales</t>
    </r>
    <r>
      <rPr>
        <sz val="12"/>
        <color theme="1"/>
        <rFont val="Times New Roman"/>
        <family val="1"/>
      </rPr>
      <t xml:space="preserve"> el 1ro del mes o se puede elegir un día determinado; para las </t>
    </r>
    <r>
      <rPr>
        <b/>
        <sz val="12"/>
        <color theme="1"/>
        <rFont val="Times New Roman"/>
        <family val="1"/>
      </rPr>
      <t>semanales</t>
    </r>
    <r>
      <rPr>
        <sz val="12"/>
        <color theme="1"/>
        <rFont val="Times New Roman"/>
        <family val="1"/>
      </rPr>
      <t xml:space="preserve"> se debe escoger el día de la semana y las </t>
    </r>
    <r>
      <rPr>
        <b/>
        <sz val="12"/>
        <color theme="1"/>
        <rFont val="Times New Roman"/>
        <family val="1"/>
      </rPr>
      <t>Ad-hoc</t>
    </r>
    <r>
      <rPr>
        <sz val="12"/>
        <color theme="1"/>
        <rFont val="Times New Roman"/>
        <family val="1"/>
      </rPr>
      <t xml:space="preserve"> no tienen día asignado y son para tareas específicas que se pueden hacer en cualquier momento sin una frecuencia específica. </t>
    </r>
  </si>
  <si>
    <t>Anular una Tarea (para siempre):</t>
  </si>
  <si>
    <r>
      <t xml:space="preserve">En Tareas_Hoy, si una tarea ya no es necesaria y no debe volver a generarse, cambia su estado a </t>
    </r>
    <r>
      <rPr>
        <b/>
        <sz val="12"/>
        <color theme="1"/>
        <rFont val="Times New Roman"/>
        <family val="1"/>
      </rPr>
      <t>"Anular tarea"</t>
    </r>
    <r>
      <rPr>
        <sz val="12"/>
        <color theme="1"/>
        <rFont val="Times New Roman"/>
        <family val="1"/>
      </rPr>
      <t>. Confirma la acción. La tarea se desactivará en el maestro.</t>
    </r>
  </si>
  <si>
    <t>5. Reportes para Auditores y Agentes</t>
  </si>
  <si>
    <r>
      <t>En el Dashboard</t>
    </r>
    <r>
      <rPr>
        <sz val="12"/>
        <color theme="1"/>
        <rFont val="Times New Roman"/>
        <family val="1"/>
      </rPr>
      <t xml:space="preserve">, encontrarás los botones </t>
    </r>
    <r>
      <rPr>
        <b/>
        <sz val="12"/>
        <color theme="1"/>
        <rFont val="Times New Roman"/>
        <family val="1"/>
      </rPr>
      <t>"Generar Vista para Auditores"</t>
    </r>
    <r>
      <rPr>
        <sz val="12"/>
        <color theme="1"/>
        <rFont val="Times New Roman"/>
        <family val="1"/>
      </rPr>
      <t xml:space="preserve"> y </t>
    </r>
    <r>
      <rPr>
        <b/>
        <sz val="12"/>
        <color theme="1"/>
        <rFont val="Times New Roman"/>
        <family val="1"/>
      </rPr>
      <t>"Generar Vista para Agentes"</t>
    </r>
    <r>
      <rPr>
        <sz val="12"/>
        <color theme="1"/>
        <rFont val="Times New Roman"/>
        <family val="1"/>
      </rPr>
      <t>.</t>
    </r>
  </si>
  <si>
    <t xml:space="preserve">    Estos botones te harán preguntas para filtrar la información y crearán una nueva hoja temporal con una vista limpia y formateada, perfecta para compartir o analizar. Para que algo sea visto por los auditores tiene que tener alguna evidencia (columna M)  o comentario (columna O). Y para ser visto por los agentes tiene que tener una instrucción en la columna Q (Público Agentes)</t>
  </si>
  <si>
    <t>Se pueden aplicar filtros para eliminar los (blank)</t>
  </si>
  <si>
    <t>T02-01</t>
  </si>
  <si>
    <t>Estado de Tareas por Responsable</t>
  </si>
  <si>
    <t>Column Labels</t>
  </si>
  <si>
    <t>Row Labels</t>
  </si>
  <si>
    <t>Count of Estado</t>
  </si>
  <si>
    <t>Evolución de Tareas en el Tiempo</t>
  </si>
  <si>
    <t>Gerente</t>
  </si>
  <si>
    <t>Supervisor BL</t>
  </si>
  <si>
    <t>Supervisor FL</t>
  </si>
  <si>
    <t>Grand Total</t>
  </si>
  <si>
    <t>Completada</t>
  </si>
  <si>
    <t>Pendiente</t>
  </si>
  <si>
    <t>Vencida</t>
  </si>
  <si>
    <t xml:space="preserve">Puntos audit   </t>
  </si>
  <si>
    <t>Puntos Totales</t>
  </si>
  <si>
    <t xml:space="preserve">Score final    </t>
  </si>
  <si>
    <t>Punto_COE</t>
  </si>
  <si>
    <t>How_Will_This_Be_Verified</t>
  </si>
  <si>
    <t>Nota_Pregunta</t>
  </si>
  <si>
    <t>Puntos_Pregunta</t>
  </si>
  <si>
    <t>A-L01</t>
  </si>
  <si>
    <t>Staff Interviews: Conduct interviews with staff members across all sections including Advisors, Supervisors, Team Leaders, Managers, and Customer Service Development personnel, to assess their knowledge of the CSE Scorecard. During these interviews, staff will be asked to state and/or demonstrate their familiarity with the Scorecard by referencing it on platforms such as SharePoint, SmartConnect, PPMT, or by showing the card at their workstation.</t>
  </si>
  <si>
    <t>FC</t>
  </si>
  <si>
    <t>Puntos conseguidos</t>
  </si>
  <si>
    <t>Assessment of Knowledge: Evaluate the responses to determine whether staff can accurately articulate the components of the CSE Scorecard relevant to their specific areas of control or roles that impact the score.</t>
  </si>
  <si>
    <t>Management Explanation: Specifically assess the CS Head, Managers, and Supervisors to ensure they can explain the entire CSE Scorecard comprehensively and demonstrate a thorough understanding of its metrics and implications for performance.</t>
  </si>
  <si>
    <t>Score final</t>
  </si>
  <si>
    <t>A-L02</t>
  </si>
  <si>
    <t>Job Description Review: Conduct a comprehensive review of all job descriptions and role profiles to ensure they contain the following elements: Organizational Background and Information, Scope of Role, Accountabilities, Skills/Qualifications, and a Review Date. Additionally, verify if the descriptions are updated with the latest IGs/IKOs within the staff’s area of control. References to IGs/IKOs may be made in separate documentation as needed.</t>
  </si>
  <si>
    <t>Availability Check: Confirm that all job descriptions and role profiles are readily available for review, ensuring accessibility for all staff members.</t>
  </si>
  <si>
    <t>Staff Interviews: Interview all staff, including Advisors (FL, BL, C&amp;C, KA), Supervisors, Team Leaders, Managers, and Customer Service Development personnel, to verify their understanding of their job descriptions. Staff will be asked to provide their job descriptions, either in hard copy or online, to confirm their familiarity with the expectations and responsibilities of their roles.</t>
  </si>
  <si>
    <t>MyTalentWorld/Local HR System Verification: Review the MyTalentWorld/Local HR system to ensure it contains essential components such as Goals (Entry/Target/Maximum), Performance Reviews, and Development Plans.</t>
  </si>
  <si>
    <t>Information Retrieval Interviews: Conduct interviews with all staff members to verify their ability to access and provide related information from the MyTalentWorld/Local HR system, whether in soft or hard copy or through online access.</t>
  </si>
  <si>
    <t>A-L03</t>
  </si>
  <si>
    <t>Communication Accessibility Review: Verify that all forms of communication regarding daily, weekly, and monthly performance, expectations/goals, updates on processes, procedures, guidelines, standards, events, and BDP are shared through various channels such as emails, SmartConnect, SharePoint, shared folders, newsletters, and MS Teams. Confirm that this communication is accessible to all staff and has been available for a minimum of three months.</t>
  </si>
  <si>
    <t>Meeting Documentation Assessment: Review documentation related to weekly and monthly meetings, including meeting invitations, agendas, presentations, and minutes. Ensure that these documents include action plans and follow-ups until closure. Verify that all relevant materials are accessible to staff for a minimum of three months while ensuring that any confidential information discussed in meetings is appropriately restricted from general access.</t>
  </si>
  <si>
    <t>KPI Performance Availability Check: Confirm that KPI performance data for the previous day and month-to-date is readily available to staff through multiple platforms, including but not limited to PPMT, email, MS Teams, wallboards, notice boards, SmartConnect, and SharePoint.</t>
  </si>
  <si>
    <t>PC</t>
  </si>
  <si>
    <t>Access Verification: Conduct spot checks to ensure that staff members can access the communications and performance reports, confirming that the information is current and available as required.</t>
  </si>
  <si>
    <t>A-L04</t>
  </si>
  <si>
    <t>Methodology Review: Confirm that the call forecasting methodology is based on key factors such as historical call patterns (Month on Month, Year on Year), actual average handling time, expected growth in shipments or customer base, seasonal or situational fluctuations, pre/post-holiday factors, and achieving a Grade of Service in accordance with global standards. Documentation outlining the methodology will be reviewed to ensure all relevant factors are included.</t>
  </si>
  <si>
    <t>Forecast Availability Assessment: Verify that forecasts are generated at various intervals, including 15 minutes, 30 minutes, hourly, daily, weekly, monthly, quarterly, and yearly, based on system availability. This will involve checking the forecasting system to ensure that these forecasts are accessible.</t>
  </si>
  <si>
    <t>Shrinkage Representation Check: Review the shrinkage calculations used in the forecasting process to ensure they accurately represent the center's short-term, medium-term, and long-term forecasts.</t>
  </si>
  <si>
    <t>Actual vs. Forecast Validation: Confirm that actual results are compared against the forecasts at least every 30 minutes or hourly. Additionally, verify that daily, weekly, and monthly validations are conducted to ensure alignment with long-term plans. This will involve examining validation reports and documentation.</t>
  </si>
  <si>
    <t>Proactive Re-Forecasting Process Verification: Assess the procedures for proactive re-forecasting of resources required to handle call volume. Verify that re-forecasting is conducted when significant variances occur, when the Grade of Service is impacted, or when actual staffing requirements deviate from the forecast. Documentation of these re-forecasting actions will be reviewed for completeness.</t>
  </si>
  <si>
    <t>A-L05</t>
  </si>
  <si>
    <t>Daily Call Volume Tracking: Confirm that call volume is tracked daily and compared against the re-forecasted volume. This will involve reviewing daily reports to ensure that actual call volumes are accurately recorded and assessed.</t>
  </si>
  <si>
    <t>Manpower Adjustment Review: Verify that necessary manpower adjustments for the following day are made based on the comparison of actual call volume to the re-forecasted volume. Documentation of these adjustments will be examined to ensure responsiveness to call volume fluctuations.</t>
  </si>
  <si>
    <t>Monthly Total Compilation: Check that daily totals are accurately cumulated into a monthly total. This will involve reviewing the monthly summary reports to ensure proper aggregation of data.</t>
  </si>
  <si>
    <t>Monthly Re-Forecast Comparison: Assess whether the monthly total call volume is within +/- 10% of the monthly re-forecasted volume. This will involve comparing the actual monthly totals against the re-forecasted figures to identify any variances.</t>
  </si>
  <si>
    <t>Variance Analysis: Verify that the reasons for any identified variances are documented and analyzed. This will include reviewing variance reports that highlight the contributing factors to discrepancies between actual and re-forecasted volumes.</t>
  </si>
  <si>
    <t>Reforecast Necessity Determination: Confirm that a determination is made regarding the necessity of reforecasting for the next month based on the variance analysis. Documentation should reflect the decision-making process and any actions taken.</t>
  </si>
  <si>
    <t>Calculation Review: Ensure that the calculation for variance is accurately applied: [(Actual total call volume – Re-forecasted call volume) / Re-forecasted call volume] x 100%. Verification will include checking the calculations in the reports for accuracy.</t>
  </si>
  <si>
    <t>A-L06</t>
  </si>
  <si>
    <t>Methodology Review: Confirm that the Chat Forecasting methodology incorporates key factors such as historical chat patterns (Month on Month, Year on Year), actual average handling time, expected growth in shipments or customer base, seasonal fluctuations, and pre/post-holiday impacts. Documentation of the methodology will be reviewed to ensure all relevant factors are included.</t>
  </si>
  <si>
    <t>Forecast Availability Check: Verify that forecasts are generated at various intervals (15 minutes, 30 minutes, hourly, daily, weekly, monthly, and yearly) based on system availability. This will involve examining the forecasting system to confirm that these forecasts are accessible and up to date.</t>
  </si>
  <si>
    <t>Shrinkage Representation Verification: Review the shrinkage calculations used in the forecasting process to ensure they accurately represent the center’s short-term, medium-term, and long-term forecasts.</t>
  </si>
  <si>
    <t>Actual vs. Forecast Validation: Confirm that actual results are compared against the forecasts at least every 30 minutes or hourly. Additionally, verify that daily, weekly, and monthly validations are conducted to ensure alignment with long-term planning. This will involve reviewing validation reports and documentation.</t>
  </si>
  <si>
    <t>Proactive Re-Forecasting Process Assessment: Assess the procedures for proactive re-forecasting of resources required to handle chat volume. Verify that re-forecasting is conducted when significant variances occur when the Chat Response Time is impacted, or when actual staffing requirements deviate from the forecast. Documentation of these re-forecasting actions will be reviewed for completeness.</t>
  </si>
  <si>
    <t>A-L07</t>
  </si>
  <si>
    <t>Daily Volume Tracking: Confirm that chat volume is tracked separately on a daily basis and compared against the re-forecasted volume. This will involve reviewing daily reports to ensure accurate recording and assessment of chat interactions.</t>
  </si>
  <si>
    <t>Manpower Adjustment Review: Verify that necessary manpower adjustments for the following day are made based on the comparison of actual chat volume to the re-forecasted volume. Documentation of these adjustments will be examined to ensure responsiveness to volume fluctuations.</t>
  </si>
  <si>
    <t>Monthly Total Compilation: Check that daily chat volumes are accurately cumulated into a monthly total. This will involve reviewing the monthly summary reports to confirm proper aggregation of data.</t>
  </si>
  <si>
    <t>Monthly Re-Forecast Comparison: Assess whether the monthly total chat volume is within +/- 10% of the monthly re-forecasted volume. This will include comparing the actual monthly totals against the re-forecasted figures to identify any variances.</t>
  </si>
  <si>
    <t>Calculation Verification: Ensure that the calculation for variance is accurately applied: [(Actual total chat volume – Re-forecasted chat volume) / Re-forecasted chat volume] x 100%. Verification will include checking the calculations in the reports for accuracy.</t>
  </si>
  <si>
    <t>A-L08</t>
  </si>
  <si>
    <t>Monitoring Process: Confirm that designated individuals in all relevant sections are actively monitoring real-time phone and chat performance metrics, including call patterns, volume, and queue status. This will involve reviewing logs and reports that demonstrate ongoing oversight.</t>
  </si>
  <si>
    <t>Performance Metrics Review: Verify that the monitoring includes assessments of manpower status and adherence to schedules. Documentation of any deviations from the schedule will be examined to ensure appropriate actions are taken.</t>
  </si>
  <si>
    <t>Analysis of Abnormal Metrics: Assess records related to abnormal metrics such as long Average Handling Time (AHT), After Call Work (ACW), and Auxiliary (AUX) time. Evidence of monitoring actions taken in response to these abnormalities should be documented and available for review.</t>
  </si>
  <si>
    <t>Staff Utilization Plan Verification: Review the staff utilization plan to ensure it is in place for both peak and non-peak intervals. This includes verifying that measures are established for overflow calls and backup resources during peak periods to assist Frontline staff and minimize breaks.</t>
  </si>
  <si>
    <t>Non-Peak Period Activities Review: Confirm that during non-peak periods, scheduled coaching, briefing, and training sessions are documented and conducted as planned. This will involve examining training schedules and attendance records.</t>
  </si>
  <si>
    <t>Evidence of Monitoring Actions: Ensure that evidence of monitoring actions is available or can be explained by the delegated individuals. This may include reports, meeting notes, or other documentation that illustrates how performance metrics are being managed and improved.</t>
  </si>
  <si>
    <t>A-L09</t>
  </si>
  <si>
    <t>Trace Volume Projection Review: Confirm that trace volume projections are estimated based on the Annual Operating Plan (AOP) shipment volume, Operations shipment forecast, shipment patterns, and trace ratios. Documentation of these projections will be reviewed to ensure accuracy and alignment with operational goals.</t>
  </si>
  <si>
    <t>Request Type Projections Assessment: Verify that separate projections are established for different types of requests and work, including Customer/Local Initiated Requests, Network Requests, and Pro-active Traces. This will involve examining the methodology used for these projections.</t>
  </si>
  <si>
    <t>Average Handling Time (AHT) Analysis: Assess that the AHT for various types of requests and work is identified and factored into workload and manpower forecasting. This will include reviewing records that demonstrate how AHT influences forecasting decisions.</t>
  </si>
  <si>
    <t>Workload and Manpower Forecasting Verification: Confirm that both trace volume and AHT are considered during the workload and manpower forecasting process. Documentation of the forecasting calculations will be reviewed for accuracy.</t>
  </si>
  <si>
    <t>Time and Motion Study Review: Ensure that time and motion studies are conducted regularly, at least twice a year, and whenever there are changes in work processes or the implementation of Robotic Process Automation (RPA). Reports from these studies will be examined to verify compliance.</t>
  </si>
  <si>
    <t>Individual TRC Advisor Performance Monitoring: Review the trace volume and total time spent for each individual TRC Advisor to identify performance gaps among team members. Documentation of workload adjustments made in response to these gaps will be assessed.</t>
  </si>
  <si>
    <t>Shrinkage Calculation Verification: Confirm that shrinkage is included in the forecasting model and is representative of the center, accounting for activities such as breaks, meetings, training, coaching sessions, and general unproductive time.</t>
  </si>
  <si>
    <t>KAD Activity Monitoring: Verify that the volume of Booking, Trace, Reporting, Courtesy Visits, and other KAD activities, along with the respective time spent for each individual KAD Advisor, is collected, and compared regularly (e.g., quarterly) to ensure effective workload management.</t>
  </si>
  <si>
    <t>Workload Reallocation Assessment: Check that re-allocation of customers/accounts is conducted as necessary to balance workloads among teammates, ensuring that the workforce planning tool is effectively utilized for optimal resource distribution.</t>
  </si>
  <si>
    <t>A-L10</t>
  </si>
  <si>
    <t>Frontline Preparation:
•Verify that peak intervals have been identified in advance based on call volume patterns.
•Check that the required manpower has been projected using Workforce Management (WFM) or Erlang C tools.
•Conduct a gap analysis to determine how to maximize Frontline manpower and identify the need for extra manpower, specifying the number of helpers required.
•Ensure that backup teams have been notified about manpower gaps and the specific time intervals through communication methods such as email or notices on whiteboards.
•Monitor the login status and call handling focus of backup teams during peak intervals.</t>
  </si>
  <si>
    <t>Backup Team Preparation:
•Confirm that backup staff for Frontline call handling has been identified for the specific intervals.
•Verify that the backup arrangement has been communicated to the respective staff at least one day in advance (for example: via email, notices on whiteboards, or verbal reminders, etc.)
•Ensure that backup staff avoid scheduling customer contacts, such as agreed callback times, during specific intervals and focus on call handling instead.</t>
  </si>
  <si>
    <t>A-L11</t>
  </si>
  <si>
    <t>Planning of Paid Leave: Verify that paid leave is planned for all teams. Each team should calculate the leave quota (threshold) for every working day, taking into account forecasted call volumes, and pre-plan all paid leaves throughout the year.</t>
  </si>
  <si>
    <t>Review of Unplanned Annual Leave: Check that any annual leave that has not yet been planned is reviewed on a regular basis to ensure it can be scheduled appropriately.</t>
  </si>
  <si>
    <t>Tracking of Unpaid and Unplanned Leave: Confirm that unpaid and unplanned leave for each staff member is tracked, with evidence of remedial discussions available to address any issues related to unplanned absences.</t>
  </si>
  <si>
    <t>Utilization Status of Paid Leave: Ensure that the utilization status of paid leave is monitored to minimize carry-forward leave, in accordance with local legislation where applicable.</t>
  </si>
  <si>
    <t>A-L12</t>
  </si>
  <si>
    <t>Buddy System Implementation:
•Verify that all Backline (BL) staff, including those in Claims &amp; Complaints and Key Accounts (KA), have a minimum of one accountable buddy. This buddy can be any member of the Customer Service team, including Supervisors or Team Leaders.
•Check that a list of all buddies is accessible to all staff and that all staff members are fully aware of the buddy program and are working accordingly</t>
  </si>
  <si>
    <t>Work Queue Management:
•Confirm that the GEMA/SPARK work queue of absent staff is managed either by the buddy through the GEMA/SPARK buddy login or by the Supervisor/Team Leader, who will assign the work to the buddy(ies).
•Ensure that the Supervisor/Team Leader closely monitors the workload to ensure it is manageable and that no service disruption occurs.</t>
  </si>
  <si>
    <t>Activation of Plans: Verify that if ad-hoc absenteeism in the Frontline (FL) is higher than the planned shrinkage rate, FL staff on annual leave or temporary staff are contacted, and the contingency plan is activated.</t>
  </si>
  <si>
    <t>Awareness and Execution of Plans: Ensure that a plan is in place to prevent service disruption and that staff members are aware of its execution.</t>
  </si>
  <si>
    <t>A-L13</t>
  </si>
  <si>
    <t>Accessibility and Activation of Contingency Plans:
•Verify that all Managers, Supervisors, and Team Leaders can easily access the Contingency Plan through platforms such as whiteboards, Smart Connect, SharePoint, and MS Teams.
•Confirm that these individuals are empowered to activate the plan as needed.</t>
  </si>
  <si>
    <t>Documentation of Possible Events and Actions:
•Ensure that all possible events and actions that could impact service (e.g., high absenteeism, unexpected volume, system outages, disasters) are thoroughly documented in the contingency plans.
•Verify that the listed actions are robust enough to recover any underperforming KPIs across all sections, including Frontline (FL), Backline (BL), Claims &amp; Complaints (C&amp;C), and Key Account Desk KAD).</t>
  </si>
  <si>
    <t>Alternatives to assist Contingencies:
•Check that alternative actions are in place, such as using manual booking forms when both CSV and CS Lite are down, and manual logs when GEMA/SPARK is down</t>
  </si>
  <si>
    <t>A-L14</t>
  </si>
  <si>
    <t>Implementation of Recommended Steps:
•Monitor and ensure that all recommended steps for activating and deactivating Key Account Customers have been implemented as outlined in the Global SOP Standard Key Account Desk Standards.</t>
  </si>
  <si>
    <t>Verification of Required Documents:
•Confirm the availability and correct usage of the latest deactivation list.
•Verify that the KAD Customer Nomination/De-activation Form is being used appropriately.
•Ensure the KAD FTE Cost Calculator is utilized for accurate resource allocation.
•Check that the KAD Welcome Kit is provided to new Key Account Customers.</t>
  </si>
  <si>
    <t>A-L15</t>
  </si>
  <si>
    <t>Documentation of Customer Requirements: Verify that all KAD customer requirements and expectations, such as shipment monitoring criteria, report requirements and formats, and contact details, are documented and reflect the latest information.</t>
  </si>
  <si>
    <t>Accessibility of Customer Information: Confirm that all KAD staff have access to the documented customer requirements through platforms such as Smart Connect, SharePoint, or shared folders.</t>
  </si>
  <si>
    <t>Harmonization of KAD Services: Ensure that all KAD Customer Services are harmonized and aligned with the Standard KAD Services as outlined in Section 3.4 of the Global SOP Standard Key Account Desk Standards.</t>
  </si>
  <si>
    <t>A-L16</t>
  </si>
  <si>
    <t>Regular Reviews by CS Section Managers: Verify that all Customer Service Section Managers conduct reviews to identify and initiate efficiency opportunities at least every six months.</t>
  </si>
  <si>
    <t>Identification of Improvement Opportunities: Confirm that opportunities for improvement are identified and addressed. These opportunities may include undeliverable calls, tracking calls, repeated calls, customs clearance calls, non-revenue generated calls, First Time Resolution Rate, individual workload, staff productivity, staff efficiency, absenteeism, overtime, digitalization, and RPA deployment.</t>
  </si>
  <si>
    <t>Availability and Review of Data, Analysis, and Results: Ensure that data, analysis, and results related to the identified efficiency opportunities are available and reviewed regularly.</t>
  </si>
  <si>
    <t>A-L17</t>
  </si>
  <si>
    <t>FTE Reviews: Evidence is available that regular FTE reviews with HR, CS Development, and Finance to identify areas of concern and review target discrepancies.</t>
  </si>
  <si>
    <t>Headcount Verification: The headcount will be cross-referenced through a comparison of the Capacity Plan with the HR Report, CREST Report, and/or local HR system to ensure accuracy.</t>
  </si>
  <si>
    <t>Discrepancy Management: Capture any discrepancies noted during the comparison process in a log and follow up with HR and Finance to resolve the issues.</t>
  </si>
  <si>
    <t>A-L18</t>
  </si>
  <si>
    <t>Review of Monthly Targets: Confirm that monthly targets for Sales Leads, TDX, Shipment Insurance, and Extended Liability are established for the department, team, and individual staff members.</t>
  </si>
  <si>
    <t>Staff Briefings and Performance Awareness: Verify that staff are well-briefed on these targets and their own selling performance. Check that selling performances are displayed on notice boards, PD, SharePoint, or similar platforms to raise staff awareness.</t>
  </si>
  <si>
    <t>Tracking and Communication of Results:
•Ensure that results are tracked and communicated daily to all impacted staff. Additionally, verify that these results are reviewed monthly in team meetings.
•Confirm that staff can show their monthly performance, for example, in PPMT or local reports.</t>
  </si>
  <si>
    <t>A-L19</t>
  </si>
  <si>
    <t>Presence of Revenue Generation Campaigns: Confirm that local, regional, and/or global revenue generation campaigns are in place, such as the Express 9/Express 12 Campaign, Shipment Insurance Campaign, CSV Price Quote Campaign, Upselling Campaign, Premium Force, sales leads, and Just Sell campaign. If regional and/or global campaigns were not launched, ensure that local campaigns are presented.</t>
  </si>
  <si>
    <t>Communication of Weekly Reports: Verify that weekly reports on individual staff, team, and department performance levels are communicated to all staff members.</t>
  </si>
  <si>
    <t>Performance Check by Staff: Ensure that staff can check their performance, for example, in PPMT.</t>
  </si>
  <si>
    <t>A-L20</t>
  </si>
  <si>
    <t>Registration of Quotations: Verify that Frontline (FL) Advisors register quotations with all relevant details in the CSV system and provide the CSV Quote reference number to the customer.</t>
  </si>
  <si>
    <t>Discount Policy Adherence: Ensure that when Customer Service has already offered the maximum discount in the first contact (as per the discount policy), the daily data of such quotes is shared with the Commercial team for their action.</t>
  </si>
  <si>
    <t>Follow-Up Contact: Confirm that an Advisor (e.g., FL, TeleSales, Sales) contacts the customer the same day to attempt converting the quotation into a booking.</t>
  </si>
  <si>
    <t>Process for Cash and Account Customers: Verify that the process is in place and agreed upon with the Commercial team for both cash and account customers.</t>
  </si>
  <si>
    <t>Staff Understanding and Consistency: Ensure that Advisors can explain the process clearly, that the process is well-documented and accessible to all staff, and that Advisors consistently carry out the process.</t>
  </si>
  <si>
    <t>A-L21</t>
  </si>
  <si>
    <t>Staff Knowledge Assessment: Conduct interviews or surveys with staff members to ensure they are aware of all applicable products and services listed in the OSS Catalogue, such as Shipment Insurance, TDI, PDN, and Extended Liability.</t>
  </si>
  <si>
    <t>Observation of Interactions: Observe customer interactions to confirm that staff actively offer these products and services during booking interactions. This can be done through call monitoring, mystery shopping, or reviewing recorded calls.</t>
  </si>
  <si>
    <t>Review of System Usage: Verify that the products and services are displayed in the CSV system via the DCT interface and that staff are using this interface to offer the applicable options to customers.</t>
  </si>
  <si>
    <t>A-L22</t>
  </si>
  <si>
    <t xml:space="preserve">Availability and Documentation: Verify that an annual revenue generation plan is available, documented, and agreed upon by the responsible parties in both Customer Service and Commercial teams.
</t>
  </si>
  <si>
    <t>Defined Objectives and Structure: Confirm that the plan includes clearly defined objectives and goals with timelines, identifies responsible parties, and outlines a schedule for regular reviews.</t>
  </si>
  <si>
    <t>Documentation of Regular Reviews: Ensure that regular reviews conducted within the period of the plan are documented, providing a record of progress and any adjustments made.</t>
  </si>
  <si>
    <t>Comprehensive End-of-Period Review: Check that a comprehensive review is conducted at the end of the plan's period to evaluate its success and identify any lessons learned. This review should also be documented.</t>
  </si>
  <si>
    <t>B-P01</t>
  </si>
  <si>
    <t>Availability of Monthly Incentive Plan: Verify that a monthly SMART incentive plan is available and within the advisors' control, covering areas such as service quality, attendance and punctuality, sales recognition, customer compliments, and knowledge tests.</t>
  </si>
  <si>
    <t>Basis of Incentive Rewards: Confirm that incentives are rewarded based on achievements at both individual and department levels (department level max impact is 20%).</t>
  </si>
  <si>
    <t>Staff Understanding: Interviews or surveys will be conducted with staff to ensure they can explain the elements on which they are measured and incentivized.</t>
  </si>
  <si>
    <t>SMART Criteria Adherence: Ensure that the incentive plan follows the SMART approach, being Specific, Measurable, Attainable, Relevant, and Timebound.</t>
  </si>
  <si>
    <t>Documentation of Exceptions: Check that any section of the incentive plan decided to be paid despite no achievement is documented in a log, with justification and approval from the CS Head.</t>
  </si>
  <si>
    <t>B-P02</t>
  </si>
  <si>
    <t>Clear Selection Criteria: A clear selection criterion for recognizing top performers is in place and has been communicated to all advisors. This can be done by reviewing documentation and communication materials such as emails, newsletters, and internal memos.</t>
  </si>
  <si>
    <t>Advisor Understanding: Interviews or surveys could be conducted with advisors to ensure they can clearly state the respective criteria for recognition. This step ensures that all team members are aware of what is required to be recognized.</t>
  </si>
  <si>
    <t>Methods of Recognition: 
•Confirm that recognition is given in various ways, such as certifications, gift vouchers, event tickets, daily positive encouragement through emails and team meetings, newsletters, compliments in DHL Insight magazine, posters, pictures, and monthly/yearly awards (e.g., Employee of the Year, Employee of the Quarter, CEO Award, Heroes of the Day/Month/Year).
•Review records of recognition activities to ensure that these methods are being implemented consistently.</t>
  </si>
  <si>
    <t>B-P03</t>
  </si>
  <si>
    <t>Comprehensive Coverage of Induction Course: The induction course structure for new staff will be verified to ensure it covers all necessary topics related to DHL products, processes, procedures, and all Customer Service applications. This includes CIS soft skills (e.g., The Art of Influencing, Managing Challenging Situations, Great Written Communication, etc.), Dangerous Goods (DG) knowledge, and other relevant areas.</t>
  </si>
  <si>
    <t>Assessment Methods During Induction: Quizzes and assessments are conducted during the induction period. These assessments should include written quizzes, role plays, email writing exercises, and other relevant methods to evaluate the new staff's understanding and skills.</t>
  </si>
  <si>
    <t>Monitoring Progress: The Quality/Training Team or Team Leader continues to monitor the progress of new staff during the first week of their induction. This involves observing performance and providing feedback.</t>
  </si>
  <si>
    <t>Documentation of Results and Follow-Up Actions: Check that all assessment results are duly recorded in individual coaching forms. Verify that follow-up actions are agreed upon, conducted, and documented to address any identified gaps or areas for improvement.</t>
  </si>
  <si>
    <t>B-P04</t>
  </si>
  <si>
    <t>Creation of Structured Roadmaps: Verify that a structured training roadmap is created for every CS position, detailing the specific training programs required for each role.</t>
  </si>
  <si>
    <t>Annual Training Calendar: Check that at the beginning of each year, a calendar of scheduled training sessions is defined and communicated to all staff. This calendar should outline all the courses planned for the year, including the new hires plan.</t>
  </si>
  <si>
    <t>Training Calendar Details: Ensure that the training calendar includes all the courses for the year and accounts for potential rescheduling due to project postponements.</t>
  </si>
  <si>
    <t>Audit and Validation: An audit of the training annual plan may be conducted to validate with the training department that the activities posted have been completed as scheduled. This includes reviewing the training records of individual staff.</t>
  </si>
  <si>
    <t>Career Progression Integration: Verify that the training roadmap complements the career progression plan, showing the training needs and requirements for each CS position.</t>
  </si>
  <si>
    <t>Training Material Availability: Ensure that each staff member has access to material about the conducted training, either in hardcopy or through an online portal.</t>
  </si>
  <si>
    <t>B-P05</t>
  </si>
  <si>
    <t>Regular Skills Verification: Verify that skills verification exercises, such as quizzes, are conducted for all staff at all levels at least quarterly for Advisors and at least every six months for all other roles, excluding the CS Head.</t>
  </si>
  <si>
    <t>Defined Pass Mark: Confirm that a pass mark is defined before the verification exercises and communicated to all staff, ensuring that everyone is aware of the required standards.</t>
  </si>
  <si>
    <t>Sharing of Results: Ensure that the results of the skills verification exercises are shared with the CS Development Team. This team will use the results to generate tips and job aides where applicable, supporting continuous improvement and development.</t>
  </si>
  <si>
    <t>B-P06</t>
  </si>
  <si>
    <t>Monitoring of Interactions: Verify that interactions handled by new staff are monitored by Supervisors, Trainers, Managers, or the CS Development Team using the global quality evaluation criteria.</t>
  </si>
  <si>
    <t>Achievement of Minimum Threshold: Confirm that only CS Advisors who have achieved the minimum threshold are allowed to go live unassisted. For those who do not meet the minimum threshold, ensure that gaps are identified, re-training is provided, and monitoring and coaching continue until the required standards are met.</t>
  </si>
  <si>
    <t>Documentation of Results: Ensure that all results are duly documented in individual coaching forms, with follow-up actions agreed upon, conducted, and documented.</t>
  </si>
  <si>
    <t>Follow-Up Report: Verify that the report of follow-up training is filled with the necessary information and formats provided by Team Leaders, Training, and Customer Experience/Quality Assurance teams. Check that these reports are stored in the folder of each Advisor.</t>
  </si>
  <si>
    <t>B-P07</t>
  </si>
  <si>
    <t>Scheduling and Communication of Coaching Sessions: Verify that formal coaching sessions are held at least once a month per staff member and are scheduled during periods of low inbound call/trace/work volume. Ensure that the coaching schedule is communicated to the staff in advance.</t>
  </si>
  <si>
    <t>Use of Formal Coaching Forms: Confirm that a formal coaching form is used for all staff at all levels. The form should capture monthly and year-to-date (YTD) KPI performance, areas of strengths and improvements, feedback and agreement from both the superior and the staff, follow-up on agreed actions/performance, and the review date.</t>
  </si>
  <si>
    <t>Timely Feedback on Performance: Ensure that feedback targeting performance improvement, for example in relation to Customer Experience/Business Process Quality assessments, or on failed transactions monitored, is given within the day or by the next working day at the latest.</t>
  </si>
  <si>
    <t>Detailed Monthly Feedback: Verify that the monthly feedback provided verbally and in writing is detailed, guides the staff on how to improve, is documented in the coaching form with an indication of the date of the feedback, and that staff have an electronic copy of their respective coaching sheets stored in a shared folder/SharePoint.</t>
  </si>
  <si>
    <t>Immediate Coaching: Confirm that immediate coaching is arranged where applicable to improve performance or rectify failed transactions, and that these sessions are recorded to provide proof. This can be conducted via chat, emails, MS Teams, etc.</t>
  </si>
  <si>
    <t>B-P08</t>
  </si>
  <si>
    <t>Documentation Review: Review the documentation from monthly coaching sessions to confirm that at least one topic is documented for the coachee using the TGROW format. This will involve checking session notes to ensure compliance with this requirement.</t>
  </si>
  <si>
    <t>TGROW Topic Relevance: Verify that the TGROW topics addressed during coaching cover developmental areas relevant to the coachee’s role and include follow-up actions. This will be assessed by examining the topics selected for discussion.</t>
  </si>
  <si>
    <t>TGROW Format Confirmation: Ensure that the TGROW format is explicitly mentioned or evident in the documentation for each session. This will involve reviewing the structure of the notes taken during coaching.</t>
  </si>
  <si>
    <t>SMART Goals Verification: Check that the goals set during coaching sessions are clear, specific, measurable, achievable, relevant, and time-bound (SMART). This will be confirmed by reviewing the documented goals for each coachee.</t>
  </si>
  <si>
    <t>Follow-Up on Previous Goals: Verify that there is a follow-up on previously set goals in subsequent coaching sessions. Documentation should reflect discussions on progress toward these goals.</t>
  </si>
  <si>
    <t>Exploration of Options and Strategies: Confirm that a range of options and strategies are explored during coaching sessions. This will be assessed by reviewing session notes to ensure diverse approaches are discussed.</t>
  </si>
  <si>
    <t>Encouragement of Creative Thinking: Adopting enabling coaching style to encourage coachee to think creatively and consider multiple solutions during the sessions. This will be verified through the documented interactions and feedback from the coachee.</t>
  </si>
  <si>
    <t>Action Plan Agreement: Check that there is a clear plan of action agreed upon at the end of each session. Documentation should include a summary of the agreed-upon actions.</t>
  </si>
  <si>
    <t>Commitment to Actions and Timelines: Verify that the coachee commits to specific actions and timelines after each session. This will be confirmed by reviewing the action items documented during the coaching.</t>
  </si>
  <si>
    <t>B-P09</t>
  </si>
  <si>
    <t>Quarterly Calibration Sessions: Verify that, in cases where more than one person is performing quality evaluation monitoring per work type, a minimum of 3 types of requests/cases are conducted per quarter per section.</t>
  </si>
  <si>
    <t>Coverage of Different Work Types: Ensure that calibration sessions throughout the year cover all different work types where more than one person is performing QM, including calls, chats, traces, network activities, claims, complaints, and remote bookings.</t>
  </si>
  <si>
    <t>Independent Review and Rating: Confirm that all calibration participants review the same calls, chats, emails, or cases and rate them independently. In cases where participants have different ratings, verify that the differences are discussed, and agreements are documented.</t>
  </si>
  <si>
    <t>Documentation of Meeting Minutes: Check that meeting minutes are available, including details such as reviewed interactions (e.g., account or booking number), AWB number or request/activity ID, the rating of each participant per reviewed call/case, and a summary of the agreement and action items.</t>
  </si>
  <si>
    <t>Re-Calibration for Consistency: Ensure that re-calibration sessions are conducted as needed to ensure consistent alignment on areas where participants have different ratings.</t>
  </si>
  <si>
    <t>B-P10</t>
  </si>
  <si>
    <t>Monthly Evaluations: Verify that every Customer Service Advisor is evaluated every month according to the global standards, which are available on SharePoint.</t>
  </si>
  <si>
    <t>Completion of Evaluation Forms: Confirm that the evaluation forms are filled out according to global instructions, ensuring consistency and adherence to set guidelines.</t>
  </si>
  <si>
    <t>Minimum Evaluations Per Advisor:
•Ensure that each Advisor handles a minimum of 10 evaluations per month, covering various interactions such as calls, traces, network activities, claims, complaints, remote bookings, emails, and other interactions.
•The evaluations should be pro-rated based on the contact channel and work type. For example, if a Frontline advisor spends 50% of their time on calls and 50% of their time on chats, the QM should be split the same i.e. 5 calls QM and 5 chats QM.</t>
  </si>
  <si>
    <t>Feedback and Coaching Sessions: Check that feedback and coaching sessions are conducted after or during each evaluation to help improve performance for future customer contacts. It is recommended that 20-30% of evaluations are conducted side-by-side.</t>
  </si>
  <si>
    <t>Pro Rata Evaluations for Leave: Ensure that quality evaluations are performed pro rata for advisors on leave (e.g., 1 week of leave = 8 evaluations, 2 weeks of leave = 5 evaluations, 3 weeks of leave = 3 evaluations).</t>
  </si>
  <si>
    <t>Split of Evaluation Methods: Confirm that Contact Centre and Customer Care/KAD quality evaluations are conducted with a split of 70-80% remote and 20-30% side-by-side observation. The type of observation should be indicated on the quality evaluation sheet.</t>
  </si>
  <si>
    <t>B-P11</t>
  </si>
  <si>
    <t>Regular Activities: Verify that various team-building and motivational activities are performed on a regular basis, either in person or virtually. Confirm that staff can quote examples of such activities, including Customer Service Week, Christmas gift exchanges, team outings organized by Supervisors, Family Day, parties, breakfast events, Theme Days on Fridays, Customer Service Conference, cooking classes, DHL Idol, weekend cricket, and tournaments against other functions.</t>
  </si>
  <si>
    <t>Documentation and Sharing of Events: Ensure that pictures and photos of these events are shared on platforms such as SharePoint, SmartConnect, and newsletters, are displayed in the Customer Service Centre. This documentation serves as evidence of the activities being conducted and helps to foster a sense of community and engagement among staff.</t>
  </si>
  <si>
    <t>B-P12</t>
  </si>
  <si>
    <t>Review of Action Plans: Verify that action plans are in place at both the country and section levels to review and positively influence EOS results. This includes checking for documented plans that outline specific actions to address identified areas for improvement.</t>
  </si>
  <si>
    <t>Incorporation of Sustainable Results: Confirm that the action plans incorporate strategies to ensure sustainable results over the years, even when 100% of all EOS KPIs are achieved. This includes reviewing long-term plans and initiatives designed to maintain high levels of employee satisfaction and engagement.</t>
  </si>
  <si>
    <t>Implementation and Monitoring: Ensure that the action plans are actively implemented and monitored. This involves checking for evidence of ongoing actions, progress tracking, and regular reviews to assess the effectiveness of the initiatives.</t>
  </si>
  <si>
    <t>Documentation and Communication: Verify that the action plans are well-documented and communicated to all relevant stakeholders. This includes ensuring that employees are aware of the actions being taken in response to their feedback and that there is transparency in the process.</t>
  </si>
  <si>
    <t>C-T01</t>
  </si>
  <si>
    <t>Existence and Accessibility of Definition: Verify that a clear definition (local or regional) of what constitutes a quality sales lead exists and has been agreed upon with the Commercial team. Ensure that this definition is shared with all staff and is accessible on platforms such as a shared drive, Smart Connect, or SharePoint.</t>
  </si>
  <si>
    <t>Staff Awareness and Understanding: Conduct interviews with staff members to confirm their awareness of the sales lead criteria. Ensure that interviewed staff can accurately explain the agreed-upon definition of a quality sales lead.</t>
  </si>
  <si>
    <t>Consistent Storage of Sales Leads: Review the process of storing sales leads to ensure that Customer Service Advisors are consistently entering sales leads into the CSV system according to the defined sales lead criteria. This includes checking records and entries in the CSV system to verify adherence to the criteria.</t>
  </si>
  <si>
    <t>C-T02</t>
  </si>
  <si>
    <t>Validation of Import Account Number: Check the CSV History to verify if Customer Service Advisors (CSAs) follow the key activities stated in GRBP Section 3.5.1.1. Ensure that CSAs obtain and validate the import account number provided by the customer (requestor) as per Section 3.4. Remote Booking Processing Rules and GCSP Security Verification on Express Maps.</t>
  </si>
  <si>
    <t>Creation of Remote Booking Request: Verify that, if the account number is valid and can be utilized, the remote booking request is created in CSV with completed and accurate details/information.</t>
  </si>
  <si>
    <t>Service Capability and Customs Requirements: Confirm that CSAs utilize CSV, DCT, and GSD to check service capability and customs requirements where relevant.</t>
  </si>
  <si>
    <t>Sharing Booking Reference Number: Ensure that the booking reference number is shared with the customer.</t>
  </si>
  <si>
    <t>Monitoring Progress: Monitor the progress of the remote booking request via CSV and verify if the statuses (ACCEPT, REJECT, PROBLEM, UPDATE, CONFIRM, and HISTORY) are used correctly, as defined in the Global Remote Booking Process.</t>
  </si>
  <si>
    <t>Keeping Requestor Updated: Check if the requestor is kept updated until the shipment is picked up and the waybill number is shared.</t>
  </si>
  <si>
    <t>Handling Issues: Verify that any issues are communicated to the requestor within the same business day, and new shipper contact information or alternate instructions are requested if necessary.</t>
  </si>
  <si>
    <t>Escalation Process: Confirm that the requesting country follows the escalation process (per GRBP Section 3.7) if the quality of response is insufficient to resolve the query or request, or if no action has been taken within the agreed time frame.</t>
  </si>
  <si>
    <t>Acknowledgement and Contact with Customer: Check the CSV History to verify if CSAs follow the key activities stated in GRBP Section 3.5.1.2. Ensure that the collecting country acknowledges the remote booking request, contacts the customer for pickup, and dispatches the booking within 8 working hours upon receiving the request (i.e., ACCEPT the remote booking request if all mandatory information is satisfactory).</t>
  </si>
  <si>
    <t>Handling Dispatch Issues: Verify that if the collecting country is unable to dispatch (CONFIRM) the remote booking within 8 working hours, they raise a PROBLEM, UPDATE, or REJECT the remote booking and provide a detailed explanation to the requesting country. Ensure that the requesting country is kept always updated on the status of the remote booking.</t>
  </si>
  <si>
    <t>Reporting Problems: Check in CSV if a problem was reported with the requested pickup (e.g., data is incomplete, sender cannot be contacted). Verify that the Advisor raised a PROBLEM to the requesting country to advise specific reasons or factors.</t>
  </si>
  <si>
    <t>Informing Waybill Number: Verify if the Advisor informed the requesting country of the waybill number after the shipment had been collected.</t>
  </si>
  <si>
    <t>Correct Use of Statuses: Monitor in CSV if the statuses (ACCEPT, REJECT, PROBLEM, UPDATE, CONFIRM, and HISTORY) are used correctly, as defined in the Global Remote Booking Process.</t>
  </si>
  <si>
    <t>Ensure that for remote bookings processed online by customers via DHL Express ESS tools such as MyDHL+ and other web applications with similar functionalities, CS follows the Global Remote Booking Process if the remote bookings are in scope and managed by CS.</t>
  </si>
  <si>
    <t>C-T03</t>
  </si>
  <si>
    <t>Adherence to Global Booking Procedure: Verify that staff are fully aware of and adhere to the Global Booking Procedure. Check that staff are always using CSV correctly.</t>
  </si>
  <si>
    <t>Security Verification: Confirm that security verification is conducted on each interaction and aligns with the requirements described in the GCSP Security Verification process map, including eSecure.</t>
  </si>
  <si>
    <t>Customer Information Alignment: Ensure that the requested customer information is in alignment with the CS Booking Questions and is accurately stored in CSV.</t>
  </si>
  <si>
    <t>Proactive Checks: Verify that Proactive Destination News and Commodity Restrictions are checked as part of the booking process.</t>
  </si>
  <si>
    <t>Use of DCT Interface: Confirm that the interface to DCT is used and that all mandatory information is entered correctly.</t>
  </si>
  <si>
    <t>Transit Time Quotation: Ensure that transit times are quoted based on the destination zip code and are displayed in the DCT ‘Delivery Date Time’ panel.</t>
  </si>
  <si>
    <t>Offering Additional Services: Verify that TDI Products, Shipment Insurance and Optional Services (if applicable) are offered to customers during the booking process.</t>
  </si>
  <si>
    <t>Storage of Sales Leads and Quotations: Check that sales leads and quotations are stored accurately in CSV.</t>
  </si>
  <si>
    <t>Booking Reference/Quotation Number Verification: Confirm that CS Advisors verify if the customer requires a Booking Reference or Quotation Number, and that this information is provided if needed.</t>
  </si>
  <si>
    <t>C-T04</t>
  </si>
  <si>
    <t>Observation of Phone State Selection: Verify that all Customer Service Advisors and Supervisors consistently choose the correct state to reflect their current activities. This can be done through side-by-side observation of staff members.</t>
  </si>
  <si>
    <t>Understanding of State Modes: Conduct interviews or surveys with CS Advisors and Supervisors to ensure they can accurately explain the usage of each state mode (e.g., AUX 1: Meal, AUX 2: Break, AUX 3: Coaching, AUX 4: Training, AUX 5: Meeting, AUX 6: Unplanned Activities, AUX 7: Other Work, AUX 8: Supervisor Coaching, etc.).</t>
  </si>
  <si>
    <t>Review of AUX Reports: Verify the correct usage of the states by reviewing the AUX Report. This report should provide detailed information on the states selected by staff members and their corresponding activities.</t>
  </si>
  <si>
    <t>C-T05</t>
  </si>
  <si>
    <t>Adherence to Global SOP Standard Network Trace Procedures: Verify that Customer Service Advisors are working in accordance with the Global SOP Standard Network Trace Procedures at all times. Check that traces are escalated according to the Network Escalation Process when necessary.</t>
  </si>
  <si>
    <t>Response Time to Customers: Confirm that the response time to customers is based on the agreed callback time to provide feedback (e.g., every day, next business day, within a specified time frame). Ensure that this commitment is consistently met.</t>
  </si>
  <si>
    <t>Trace Communication Standards: Ensure that all trace communications follow the standards outlined in the Global SOP Standard Network Trace Procedures.</t>
  </si>
  <si>
    <t>Handling Undeliverable Shipments: Verify that if a shipment is declared undeliverable, the CS Advisor follows the latest version of the Global SOP Network Operations Exception Handling Policy and Standards, Undeliverable Shipments. Check that the advisor requests instructions from the sender on how to handle the shipment (e.g., return to origin, redirect, abandon).</t>
  </si>
  <si>
    <t>Correct System Usage:
•Confirm that the following examples of correct system usage are adhered to:
•Verbiage accurately reflects the case type being handled.
•Callbacks reflect the agreement with the customer and are not negatively affected by internal DHL commitments (e.g., training, coaching, team meetings).
•Use of ODD (On-Demand Delivery) where applicable for shipment re-delivery.
•All documentation related to the request is uploaded into GEMA/SPARK as attachments (e.g., customer correspondence, damage reports), aligning with GDPR (General Data Protection Regulations).</t>
  </si>
  <si>
    <t>Accurate Recording of Actions: Ensure that all actions are accurately recorded in the GEMA/SPARK system.</t>
  </si>
  <si>
    <t>C-T06</t>
  </si>
  <si>
    <t>Adherence to Customer Agreements: Verify that CS Advisors are setting callback times based on the specific agreements made with customers, ensuring that these times are accurately documented in GEMA/SPARK.</t>
  </si>
  <si>
    <t>Callback Performance Monitoring: Confirm that the BL team is executing callbacks within the agreed timeframe. This includes checking logs and records to ensure compliance with the established callback times.</t>
  </si>
  <si>
    <t>Daily Performance Reviews: Ensure that Supervisors/Managers conduct daily reviews of callback performance, analyzing the adherence to agreed callback times and identifying any failures in the process.</t>
  </si>
  <si>
    <t>Follow-Up on Callback Failures: Verify that any instances of callback failures are followed up promptly by Supervisors/Managers. This includes checking records of follow-up actions taken and ensuring that appropriate coaching is provided to the individual Customer Service Advisors involved.</t>
  </si>
  <si>
    <t>Coaching and Development: Confirm that coaching sessions are being conducted with CS Advisors following any callback failures, focusing on areas for improvement and adherence to customer agreements.</t>
  </si>
  <si>
    <t>C-T07</t>
  </si>
  <si>
    <t>Adherence to Global SOP and Local Agreements: Verify that Customer Service Advisors consistently follow the Global SOP Standard Claim and Complaint Handling Procedures, as well as any relevant local cross-functional Service Level Agreements.</t>
  </si>
  <si>
    <t>Response Time Monitoring: Confirm that the response time to customers aligns with the agreed callback commitments, ensuring feedback is provided within the specified timeframe (e.g., daily, next business day).</t>
  </si>
  <si>
    <t>Accurate Verbiage Usage: Ensure that the language used by Customer Service Advisors accurately reflects the specific Case Type being handled, maintaining clarity and consistency in communication.</t>
  </si>
  <si>
    <t>Documentation Compliance: Verify that all relevant documentation, such as customer correspondence and damage reports, is uploaded into GEMA/SPARK as attachments, ensuring compliance with GDPR regulations.</t>
  </si>
  <si>
    <t>Action Recording: Confirm that all actions taken regarding claims are accurately recorded in the GEMA/SPARK system for transparency and accountability.</t>
  </si>
  <si>
    <t>C-T08</t>
  </si>
  <si>
    <t>Adherence to Global SOP and Local Agreements: Verify that Customer Service Advisors consistently follow the Global SOP Standard Claim and Complaint Handling Procedures and the Global SOP Service Recovery Reference Guide, along with any applicable local cross-functional Service Level Agreements.</t>
  </si>
  <si>
    <t>Accurate Verbiage Usage: Ensure that the language used by CS Advisors accurately reflects the specific Case Type being handled, maintaining clarity and consistency in communication.</t>
  </si>
  <si>
    <t>Action Recording: Confirm that all actions taken regarding complaints are accurately recorded in the GEMA/SPARK system for transparency and accountability.</t>
  </si>
  <si>
    <t>C-T09</t>
  </si>
  <si>
    <t>Matrix Availability and Accessibility: Verification will be conducted to ensure that the empowerment matrix is documented and accessible to all Customer Service staff. This will include checking that it is readily available on the internal platform/s and that staff members can easily locate it.</t>
  </si>
  <si>
    <t>Understanding of the Empowerment Matrix: Verification will be conducted to confirm that Customer Service staff can accurately explain the empowerment matrix and its application in decision-making processes.</t>
  </si>
  <si>
    <t>Consistency with Governance Guidelines: The empowerment matrix will be reviewed to ensure it aligns with the Delegation of Authority Guidelines (DOAG) and the Gift and Hospitality Policy. This review will include cross-referencing the matrix with these guidelines to confirm adherence to comprehensive governance standards.</t>
  </si>
  <si>
    <t>Endorsement Verification: Documentation (i.e. DOAG, empowerment matrix) will be checked to confirm that the empowerment matrix has been properly endorsed by the country manager or compliance officer, ensuring that it has received the necessary approvals for implementation.</t>
  </si>
  <si>
    <t>Monitoring of Empowerment Usage: Reports will be generated to analyze instances where staff have utilized their empowerment to resolve customer issues, assessing whether the decisions made align with the guidelines outlined in the empowerment matrix.</t>
  </si>
  <si>
    <t>C-T10</t>
  </si>
  <si>
    <t>Storage and Usage Verification: A review will be conducted in GEMA/SPARK, MCT, or any other approved tools to verify that standard letters frequently used by the Customer Service team are properly stored and utilized according to established guidelines. This will involve checking for the presence of these letters in the designated locations and ensuring they are accessible to all relevant staff.</t>
  </si>
  <si>
    <t>Content Approval Confirmation: Documentation will be examined to confirm that the content of the standard letters has been approved by either the Legal, Finance, and/or Marketing departments, ensuring compliance with organizational policies and local regulations. This verification will include checking for records of approval and ensuring that these reviews occur at least once every two years.</t>
  </si>
  <si>
    <t>Audit of Usage Compliance: An audit will be performed to assess whether the standard letters are being used consistently and appropriately in customer communications. This will involve sampling customer interactions to ensure that the correct letters are employed in relevant scenarios.</t>
  </si>
  <si>
    <t>C-T11</t>
  </si>
  <si>
    <t>Implementation and Usage Audit: Regular audits will be conducted to verify that the GEMA/SPARK approval process is fully implemented and consistently used for all compensation approvals within the Customer Service team. This will involve reviewing transaction records to ensure that all compensation payments are processed through the approved system.</t>
  </si>
  <si>
    <t>Email and Paper Form Monitoring: A review will be performed to confirm that no approval emails or signed paper forms are being utilized for compensation payments within Customer Service. This will include monitoring communication channels and documentation practices to ensure compliance with the established rule.</t>
  </si>
  <si>
    <t>Exceptions Documentation Review: In instances where the GEMA/SPARK approval process cannot be used due to legal requirements, the Customer Service team will be required to highlight these exceptions to the Regional Team. Verification will include checking the COE Performance Chart to ensure that all legal requirements are properly documented in the ‘Observations’ Column, along with explanations for why the standard process could not be followed.</t>
  </si>
  <si>
    <t>C-T12</t>
  </si>
  <si>
    <t>Monitoring Process Review: Regular audits will be conducted to confirm that customers' shipments are actively monitored through KART. This includes checking that proactive traces are automatically created in the system when specific criteria are not met, as defined in the reporting settings.</t>
  </si>
  <si>
    <t>Criteria Compliance Checks:
•Verification will involve reviewing shipment records to ensure that the following criteria are being monitored:
•Shipment records without a completion scan after the Estimated Delivery Date (EDD) plus the configured number of days.
•Shipment records where selected checkpoints have been scanned, but the shipment is still marked as incomplete.
•Shipment records that have not been delivered for more than the configured number of hours after the latest checkpoint has been scanned.</t>
  </si>
  <si>
    <t>Daily Reporting for Time-Sensitive Shipments: The KAD team’s use of daily reporting via KART for time-sensitive shipments (e.g., Express 9:00, Express 10:30, Medical Express) will be monitored to ensure that these shipments are being closely tracked. Verification will include checking records of customer notifications when shipments are identified as being in distress, ensuring that communication is conducted as per customer requirements.</t>
  </si>
  <si>
    <t>Alignment with Nomination Form Standards: A review will be conducted to ensure that the KART configuration for each customer aligns with the standards defined in the Nomination Form. This will involve cross-referencing the configuration settings against the established guidelines to confirm compliance.</t>
  </si>
  <si>
    <t>C-T13</t>
  </si>
  <si>
    <t>Use Case Verification: A review will be conducted to confirm that the GVA is fully operational in the country and effectively covers four or more defined use cases. This will involve checking documentation and system configurations to ensure the tool is deployed as specified.</t>
  </si>
  <si>
    <t>Reporting and Analysis Review: The CSD manager, or another delegated individual, will be required to present usage reporting and analysis of the GVA’s performance. Verification will include examining the reports generated to assess the frequency and depth of the analysis conducted. It is recommended that countries conduct the reporting and analysis at least monthly, however, countries can use their judgment to conduct this more frequently.</t>
  </si>
  <si>
    <t>Evidence of Improvement Actions: Documentation will be reviewed to provide evidence of actions taken to enhance the efficacy of the GVA based on the analysis. This will involve checking records of any updates, or modifications, as a result of the findings from the usage reports.</t>
  </si>
  <si>
    <t>C-T14</t>
  </si>
  <si>
    <t>Documentation Review: The call flow documentation and Functional Design Specification (FDS), if applicable, will be reviewed in collaboration with the Customer Service management team. This review will ensure that the documentation is accurate, up-to-date, and includes correct timings and scripts. The management team should be able to explain the contents clearly.</t>
  </si>
  <si>
    <t>Contact Centre Platform Programming Verification: Verification will be conducted with the support vendor responsible for programming to confirm that the Contact Centre Platform is programmed to allow for auto answer and auto disconnect. This means that no button needs to be pressed to accept or close a call.</t>
  </si>
  <si>
    <t>Call Overflow Functionality Testing: The call overflow functionality will be verified by testing the call flows when the administered thresholds of key indicators are exceeded, including testing in contingency mode to ensure reliability during high call volumes.</t>
  </si>
  <si>
    <t>Queue Messaging and Music On Hold Verification: A test call will be placed on hold to listen to the Queue messaging and Music On Hold announcements, ensuring that the messaging is appropriate and functioning as intended.</t>
  </si>
  <si>
    <t>Telephony Setup Functionality Testing: The overall telephony setup will be tested through side-by-side observations, live monitoring of service, Quality Management (QM) monitors, and CMS/IQ/SKPI reporting, if applicable, to ensure all components are working correctly.</t>
  </si>
  <si>
    <t>C-T15</t>
  </si>
  <si>
    <t>IVR Design Review: Confirm that the IVR is designed to answer calls directly, maximizing automation opportunities and the likelihood of automated resolutions.</t>
  </si>
  <si>
    <t>IVR Reporting Analysis:
•Analyze IVR reporting to review key metrics such as the take-up and abandonment rates, number of calls processed by the IVR, calls transferred to advisors, and abandoned calls. Identify actions for improvement based on this data. It is recommended that countries conduct the reporting and analysis at least monthly, however, countries can use their judgment to conduct this more frequently.
•Additionally, there should be evidence that a regular review of the list of enabled and disabled accounts is conducted, as well as the Speed Booking flag, to ensure that all configurations are up to date and functioning as intended.</t>
  </si>
  <si>
    <t>Advisor Access Testing: Test the functionality that allows customers to reach an advisor at any point in the IVR. This will include placing test calls from various menu areas and using touch-tone options (e.g., “0”) to verify that calls are successfully transferred to a live representative.</t>
  </si>
  <si>
    <t>CTI Integration Verification: If Computer Telephony Integration (CTI) is used, verify that customer information entered in the IVR is accurately transferred to the advisor’s screen upon call transfer.</t>
  </si>
  <si>
    <t>Key Path Testing: Conduct test calls to the IVR to ensure all key paths and menu options function correctly, testing both speech recognition and touch-tone inputs.</t>
  </si>
  <si>
    <t>AWB Loop Testing: Place test calls to the IVR using invalid Air Waybill (AWB) numbers to verify that the system prompts for retries twice before transferring the call to an advisor.</t>
  </si>
  <si>
    <t>Contingency Plan Review: Ensure that an IVR Contingency Plan is in place, detailing call routing options in the event of an IVR or application issue, including emergency announcements and alternate routing procedures.</t>
  </si>
  <si>
    <t>C-T16</t>
  </si>
  <si>
    <t>Menu Functionality Testing: Confirm that the AA prompts callers to respond to menu choices by entering digits on their telephone, and that calls are routed based on the selected options. This will include verifying the presence of language selection at the beginning, a maximum of three layers and five options, DHL branding, repeat functionality, and the option to speak to a representative (not counted as a menu option).</t>
  </si>
  <si>
    <t>Timeout and Retry Verification: Test the timeout and retries feature to ensure that if input is not recognized or received, the AA repeats the menu options appropriately.</t>
  </si>
  <si>
    <t>Skills-Based Routing Confirmation: Verify with the support vendor responsible for system programming that skills-based routing is correctly programmed to align with the AA options, ensuring calls are directed to the appropriate personnel.</t>
  </si>
  <si>
    <t>Time-of-Day Routing Testing: Conduct tests during both business hours and after hours to confirm that the AA correctly implements time-of-day routing and delivers appropriate after-hours messaging.</t>
  </si>
  <si>
    <t>Queue Messaging and Music On Hold Testing: Place a test call on hold to listen to the Queue messaging and Music On Hold announcements, verifying that the messaging is appropriate and functioning as intended.</t>
  </si>
  <si>
    <t>Contingency Plan Review: Ensure that an AA Contingency Plan is in place, detailing procedures for emergency announcements and alternate routing options in the event of system failures.</t>
  </si>
  <si>
    <t>D-M01</t>
  </si>
  <si>
    <t>Data Extraction Review: Confirmation will be made that data is extracted from the COMBINE system for Traces, Claims, and Complaints on a monthly basis, ensuring accurate and timely reporting.</t>
  </si>
  <si>
    <t>Meeting Documentation: The volume and issues identified will be presented and discussed during the monthly Senior Management Team Meeting (or VOICE meeting) with relevant stakeholders, including process owners and departments within individual countries or across the network. Meeting minutes will be reviewed to verify discussions and decisions made.</t>
  </si>
  <si>
    <t>Root Cause Analysis Verification: Relevant sections will be responsible for conducting further analysis to identify root causes. Documentation of this analysis will be reviewed to ensure thorough investigation and accountability.</t>
  </si>
  <si>
    <t>Action Plan Development: Specific targets for rectifying shipment incidents will be established, and action plans will be developed and prioritized by stakeholders, including timelines for implementation. Verification will involve checking that these action plans are documented and accessible.</t>
  </si>
  <si>
    <t>Follow-Up Actions Review: Follow-up actions will be monitored to ensure that agreed improvement plans are effective. Documentation will be reviewed to verify that actions are taken if there is no positive trend in shipment incidents or failures.</t>
  </si>
  <si>
    <t>Documentation of Action Plans: All action plans, follow-up actions, responsible personnel, and pre/post results must be documented by relevant departments and stakeholders. This documentation will be reviewed for completeness and accuracy.</t>
  </si>
  <si>
    <t>Escalation Process Verification: The escalation process for repeated failures or negative trends will be verified, including the existence of conference calls with documented action items. Follow-up on these action items will be assessed for regularity and effectiveness.</t>
  </si>
  <si>
    <t>Report Availability Check: Monthly reports, meeting minutes, action plans, and records of escalations to other countries will be made available for review, covering the previous three months to ensure transparency and accountability.</t>
  </si>
  <si>
    <t>D-M02</t>
  </si>
  <si>
    <t>Access to VOICE: Confirm that the CS management team, including the CS Head, has access to the VOICE and can successfully navigate the system to read Voice of the Customer (VOC) feedback and review scores of transactions related to customer service throughout the customer journey.</t>
  </si>
  <si>
    <t>Identification of Topics: Verify that the CS management team can identify the top 'top and bottom' topics from the VOICE related to customer service, ensuring they are actively analyzing feedback for insights.</t>
  </si>
  <si>
    <t>Reporting Hub Access: Assess the CS management team's access to the VOICE reporting hub to evaluate the effectiveness of the 'Follow Up' process. Verification will include checking whether the team is achieving the Key Performance Indicators (KPIs) and key metrics established by the Global/Regional team.</t>
  </si>
  <si>
    <t>Root Cause Analysis Verification: Review documentation to ensure that the CS management team conducts Root Cause Analysis for transactions with low NPS scores, confirming that they are identifying and addressing the underlying issues.</t>
  </si>
  <si>
    <t>Improvement Initiatives Tracking: Verify that the CS management team is driving improvement initiatives, whether within the CS function or cross-functionally, to address customer concerns. Documentation will be reviewed to ensure that these initiatives are resulting in positive outcomes.</t>
  </si>
  <si>
    <t>D-M03</t>
  </si>
  <si>
    <t>Availability of Reports: Confirm that reports, including those available in PPMT, cover all aspects of the Customer Service Excellence Scorecard. This will involve checking the reporting system to ensure these reports are accessible.</t>
  </si>
  <si>
    <t>Comprehensive Report Review: Verify that additional reports aimed at improving center performance such as Login/Logout, Call Wrap Up, Transfer Calls, On-Hold Time, Inbound/Outbound Calls per Workstation, Repeat Traces, Aging Reports, Customer Callbacks, Justified GEMA/SPARK Escalations, and Customer Satisfaction Survey Reports are available. Reports related to chat and email interactions will also be included in this review.</t>
  </si>
  <si>
    <t>Frequency of Report Availability: Assess that these reports are available for review on a daily, weekly, and monthly basis, ensuring they are regularly updated and accessible for analysis.</t>
  </si>
  <si>
    <t>Level of Detail: Verify that reports are available at the Advisor, Team, Section, and Department levels to facilitate tracking and trending of performance metrics.</t>
  </si>
  <si>
    <t>Performance Follow-Up: Review documentation and records to ensure that superiors are utilizing these reports to follow up with staff regarding performance improvement, confirming that actionable insights are being communicated effectively.</t>
  </si>
  <si>
    <t>Daily Analysis of Case Age: Verify that supervisors/managers perform and analyze the age of cases daily. The report should highlight requests/activities that are beyond the Regional KPI timeframe. Ensure that there is a process in place to locally manage exception cases, involving a detailed check per request/activity to understand why the case is still pending.</t>
  </si>
  <si>
    <t>D-M04</t>
  </si>
  <si>
    <t>Accuracy Assessment: A review will be conducted to confirm that all reports, data, and presentations are accurate and meaningful. This will involve cross-referencing the data against source documents and validating the calculations and insights presented.</t>
  </si>
  <si>
    <t>Understanding of Data: Verification will include discussions and assessments with the reporting team and Managers to ensure they understand the data and can explain its significance. This may involve interviews to gauge their comprehension and ability to articulate findings.</t>
  </si>
  <si>
    <t>Action Presentation Review: Actions related to the extracted data will be examined to confirm that they are clearly presented and aligned with the insights derived from the reports. Documentation of these actions will be reviewed to ensure they are actionable and relevant.</t>
  </si>
  <si>
    <t>Compliance with Business Rules: For reports showing country-level performance developed locally, verification will include checking that they follow the established business rules document. This will involve reviewing the reports to ensure they adhere to the specified guidelines and standards.</t>
  </si>
  <si>
    <t>D-M05</t>
  </si>
  <si>
    <t>Review of Performance Measures: Confirm that different performance measures, in addition to the CSE Scorecard, are established and that specific targets and goals are set to enhance overall performance.</t>
  </si>
  <si>
    <t>Tracking and Trending Analysis: Verify that tracking, trending, and comparisons of current and past performance (e.g., daily, weekly, month-to-date, and monthly) are conducted to identify areas and opportunities for improvement.</t>
  </si>
  <si>
    <t>Regular Performance Reviews: Assess documentation to ensure that performance reviews are conducted regularly at individual, team, and department levels, with the frequency of reviews aligned with the measurement criteria (daily, weekly, or monthly).</t>
  </si>
  <si>
    <t>Action Implementation Verification: Review records to confirm that actions are taken to address identified areas for improvement and opportunities for better performance.</t>
  </si>
  <si>
    <t>Monitoring and Follow-Up Actions: Verify that monitoring and follow-up actions are conducted regularly to ensure sustainability and continuous performance improvement.</t>
  </si>
  <si>
    <t>Comprehensive Parameter Review: Ensure that the parameters reviewed are considered across all reports and sections and are utilized as inputs for business continuity and improvement initiatives as needed.</t>
  </si>
  <si>
    <t>Evidence of Actions Taken: Check previous day reports and month-to-date reports for documented evidence of actions taken in response to performance assessments where necessary.</t>
  </si>
  <si>
    <t>D-M06</t>
  </si>
  <si>
    <t>Monitoring Results Review: Confirm that quality monitoring results are systematically tracked, trended, and analyzed at the department, team, staff, and question level. This will involve reviewing documentation and reports that detail the performance metrics across these levels.</t>
  </si>
  <si>
    <t>Analysis of Areas for Improvement: Assess the identified areas for improvement to ensure they are clearly documented and prioritized based on the analysis of the quality monitoring results.</t>
  </si>
  <si>
    <t>Training and Coaching Implementation: Verify that appropriate training courses, including general training for multiple Advisors and targeted training on the job or coaching for individual Advisors, are being implemented to address the identified areas for improvement.</t>
  </si>
  <si>
    <t>Training Records Review: Review training records and attendance logs to confirm that Advisors are participating in the necessary training sessions and coaching programs aimed at enhancing their performance.</t>
  </si>
  <si>
    <t>Follow-Up on Improvement Outcomes: Evaluate the effectiveness of the training and coaching initiatives by analyzing subsequent quality monitoring results to determine if there has been a measurable performance improvement.</t>
  </si>
  <si>
    <t>D-M07</t>
  </si>
  <si>
    <t>Program Implementation Review: Confirm that the Internal Mystery Shopper Program is conducted monthly by colleagues from departments such as Sales, Operations, and Marketing, who are not part of the Customer Service function.</t>
  </si>
  <si>
    <t>Assessment Scoring: Verify that the internal colleagues/external party complete the scoring independently after conducting a minimum of 10 calls or chats each month, in line with global quality standards. Documentation of these assessments will be reviewed to ensure compliance with the established criteria.</t>
  </si>
  <si>
    <t>Results Sharing: Check that the results of the Internal Mystery Shopper assessments are shared with the staff during monthly department meetings or individual coaching sessions. Verification will include examining meeting minutes and coaching forms to confirm that scores from the program are documented and discussed.</t>
  </si>
  <si>
    <t>Documentation of Findings: Ensure that the results, gap analysis, and action plans stemming from the Internal Mystery Shopper assessments are documented and traceable. This will involve reviewing reports and action plans to confirm that they are properly recorded and accessible for future reference.</t>
  </si>
  <si>
    <t>D-M08</t>
  </si>
  <si>
    <t>Monthly Tracking Review: Confirm that results are consistently tracked, trended, and analyzed on a monthly basis. This will involve reviewing documentation that outlines the monthly performance metrics and trends.</t>
  </si>
  <si>
    <t>Comprehensive Analysis Assessment: Verify that a detailed analysis is conducted on the overall results, broken down by elements, staff level, and in comparison, with monthly quality monitoring scores. This will include examining reports that illustrate these comparisons and analyses.</t>
  </si>
  <si>
    <t>Action Implementation Verification: Review records to ensure that appropriate actions are taken to address identified opportunities and concerns for the center or individual staff members. Documentation of these actions will be assessed for completeness and relevance.</t>
  </si>
  <si>
    <t>Follow-Up Action Monitoring: Check that follow-up actions are taken when agreed improvement plans do not yield positive or effective results. This will involve reviewing follow-up reports to confirm that necessary adjustments are made.</t>
  </si>
  <si>
    <t>Documentation Review: Ensure that all action plans and follow-up actions aimed at addressing areas for improvement are thoroughly documented. This documentation will be reviewed for clarity and traceability.</t>
  </si>
  <si>
    <t>Score Comparison Analysis: Compare the scores obtained by the independent party and the Customer Service Supervisors during quality assessments to identify any variances. If discrepancies are found, which exceed the allowable variance verify that a review is conducted to understand the reasons behind these gaps, ensuring that corrective measures are implemented to narrow them.</t>
  </si>
  <si>
    <t>D-M09</t>
  </si>
  <si>
    <t>Physical Inspection of Wallboards: Conduct a physical inspection of the Customer Service floor to confirm that wallboards are prominently displayed and accessible to both Supervisors and Advisors.</t>
  </si>
  <si>
    <t>Content Review: Review the information displayed on the wallboards to ensure that it includes critical performance metrics necessary for real-time management by Supervisors and visibility for Advisors.</t>
  </si>
  <si>
    <t>Staff Understanding Assessment: Engage with Advisors to assess their understanding of the information presented on the wallboards. This may involve informal discussions to confirm that they can explain the details and utilize the information effectively.</t>
  </si>
  <si>
    <t>Functionality Check: Verify that all wallboards are in working condition to ensure that they are displaying real-time data accurately and without interruption.</t>
  </si>
  <si>
    <t>LISTA DE TAREAS PENDIENTES Y VENCIDAS</t>
  </si>
  <si>
    <t>TIEMPO PROMEDIO DE COMPLETADO (EN DÍAS)</t>
  </si>
  <si>
    <t>Punto_COE (haga click debajo para ir a tareas)</t>
  </si>
  <si>
    <t>Nombre_Tarea</t>
  </si>
  <si>
    <t>Fecha_Asignada</t>
  </si>
  <si>
    <t>Estado</t>
  </si>
  <si>
    <t>Responsable</t>
  </si>
  <si>
    <t>Responsable (Nombre)</t>
  </si>
  <si>
    <t>Promedio de Días</t>
  </si>
  <si>
    <t>L01</t>
  </si>
  <si>
    <t>Definir y mantener actualizado el CSE Scorecard</t>
  </si>
  <si>
    <t>Comunicar y capacitar sobre el CSE Scorecard</t>
  </si>
  <si>
    <t>(blank)</t>
  </si>
  <si>
    <t>Preparación para Auditoría - Simulacro KPIs</t>
  </si>
  <si>
    <t>Verificar accesibilidad del CSE Scorecard</t>
  </si>
  <si>
    <t>L02</t>
  </si>
  <si>
    <t>Asegurar que existen Job Descriptions (JD) actualizadas</t>
  </si>
  <si>
    <t>Comunicar formalmente las JDs y obtener acuse de recibo</t>
  </si>
  <si>
    <t>Asegurar actualización del sistema HR (MyTalentWorld)</t>
  </si>
  <si>
    <t>Preparación para Auditoría - Simulacro JDs y en MyTalent</t>
  </si>
  <si>
    <t>Verificar accesibilidad de JDs</t>
  </si>
  <si>
    <t>L03</t>
  </si>
  <si>
    <t>Distribuir reportes de desempeño a los agentes para su revisión y análisis</t>
  </si>
  <si>
    <t>L04</t>
  </si>
  <si>
    <t>Generar forecast de llamadas (mensual)</t>
  </si>
  <si>
    <t>Revisar y validar internamente el forecast de llamadas</t>
  </si>
  <si>
    <t>Revisar metodología de forecasting de llamadas</t>
  </si>
  <si>
    <t>Revisar shrinkage de archivo Monthly report y cargarlo en capacity</t>
  </si>
  <si>
    <t>Revisar cada vez que se necesite hacer un re-forecast por variaciones significativas en llamadas, shrinkage, GOS</t>
  </si>
  <si>
    <t>L05</t>
  </si>
  <si>
    <t>Calcular y analizar variación mensual de llamadas</t>
  </si>
  <si>
    <t>Revisar diariamente llamadas reales vs. forecast y hacer comentarios cuando la variación es de +/- 10%</t>
  </si>
  <si>
    <t>Realizar y guardar evidencia de re-forecast en WFM tool de acuerdo a variaciones en el volumen actual de llamadas para ajustar manpower</t>
  </si>
  <si>
    <t>L06</t>
  </si>
  <si>
    <t>Generar forecast de chats (mensual)</t>
  </si>
  <si>
    <t>L07</t>
  </si>
  <si>
    <t>Calcular y analizar variación mensual de chats</t>
  </si>
  <si>
    <t>L08</t>
  </si>
  <si>
    <t>Monitoreo en Tiempo Real (RTA) de adherencia y metricas fuera de lo normal (AHT, ACW prolongados, etc.)</t>
  </si>
  <si>
    <t>L09</t>
  </si>
  <si>
    <t>Generar forecast de carga de trabajo BL/KAD (mensual)</t>
  </si>
  <si>
    <t>Monitorear y analizar workload diario BL/KAD</t>
  </si>
  <si>
    <t>Revisar precisión del forecast de BL/KAD</t>
  </si>
  <si>
    <t>Realizar Time &amp; Motion BL y KAD</t>
  </si>
  <si>
    <t>Analizar Shrinkage BL/KAD</t>
  </si>
  <si>
    <t>Realizar workload KAD trimestral para balancear carteras de ser necesario</t>
  </si>
  <si>
    <t>L11</t>
  </si>
  <si>
    <t>Planificar y aprobar vacaciones anuales/semestrales</t>
  </si>
  <si>
    <t>Rastrear y registrar ausencias</t>
  </si>
  <si>
    <t>Revisar tendencia de ausencias y hacer planes de acción para corregir y guardar la evidencia</t>
  </si>
  <si>
    <t>L12</t>
  </si>
  <si>
    <t>Revisar y actualizar buddy system</t>
  </si>
  <si>
    <t>Gestionar trabajo de ausentes. Apoyarse en Plan de Contingencias</t>
  </si>
  <si>
    <t>Actualizar en Gema Admin/SPARK los buddies de BL/KAD de acuerdo con el plan</t>
  </si>
  <si>
    <t>L13</t>
  </si>
  <si>
    <t>Revisar Plan de Contingencia y de Continuidad del Negocio (BCP)</t>
  </si>
  <si>
    <t>L14</t>
  </si>
  <si>
    <t>Realizar auto-auditoría del proceso KAD. Se recomienda hacer controles cruzados entre distintos KAD</t>
  </si>
  <si>
    <t>L15</t>
  </si>
  <si>
    <t>Revisar y actualizar perfiles de clientes KAD en el Master File. Se recomienda hacer controles cruzados entre distintos KAD</t>
  </si>
  <si>
    <t>L18</t>
  </si>
  <si>
    <t>Capacitar al equipo de FL para que sepa leer los notice boards y sus KPIs de Upselling y leads y productos que ofrecen</t>
  </si>
  <si>
    <t>L19</t>
  </si>
  <si>
    <t>Monitorear y reportar sobre campañas de venta activas</t>
  </si>
  <si>
    <t>L20</t>
  </si>
  <si>
    <t>Realizar seguimiento de plan para transformar las cotizaciones en Bookings efectivos</t>
  </si>
  <si>
    <t>L21</t>
  </si>
  <si>
    <t>Monitorear y coachear sobre oferta de Servicios Opcionales</t>
  </si>
  <si>
    <t>M01</t>
  </si>
  <si>
    <t>M01.1: Gestionar análisis de causa raíz (RCA) de Traces, Claims y Complaints</t>
  </si>
  <si>
    <t>Documentar planes de acción, seguimiento y evidencia de ejecución, con responsables, fechas y evolución en el tiempo y acciones correctivas.</t>
  </si>
  <si>
    <t>Realizar análisis main offenders y enviarlo a los países que nos impactan en nuestros casos de país, con un plan de acción y seguimiento</t>
  </si>
  <si>
    <t>M03</t>
  </si>
  <si>
    <t>M03.1: Utilizar reportes estándar (PPMT y otros) para medir KPIs y eficiencia</t>
  </si>
  <si>
    <t>Revisar 2nd and 3rd escalation y hacer reporte para control de gestión</t>
  </si>
  <si>
    <t>Realizar reporte casos por cerrar de BL/KAD diario</t>
  </si>
  <si>
    <t>Realizar reporte de performance diario para FL/BL y KAD</t>
  </si>
  <si>
    <t>Realizar reporte de análisis de IVR mensual</t>
  </si>
  <si>
    <t>Realizar reporte de mails diario para agentes de FL/BL y KAD</t>
  </si>
  <si>
    <t>Realizar reporte de Chat diario para agentes de FL/KAD</t>
  </si>
  <si>
    <t>Realizar reporte de Aging diario para agentes de BL/KAD y supervisores analizan casos de mayor aging con agentes</t>
  </si>
  <si>
    <t>Realizar reporte de uso PPMT para todos mensualmente</t>
  </si>
  <si>
    <t>Realizar reporte de Scorecard mensual desde PPMT</t>
  </si>
  <si>
    <t>M04</t>
  </si>
  <si>
    <t>M04.1: Asegurar que los datos recolectados sean relevantes, precisos, utilizados de forma correcta y comprendidos</t>
  </si>
  <si>
    <t>M05</t>
  </si>
  <si>
    <t>M05.1: Revisar diariamente resultados de desempeño e implementar acciones correctivas y documentar evidencia de seguimiento</t>
  </si>
  <si>
    <t>M06</t>
  </si>
  <si>
    <t>M06.1: Rastrear, analizar y generar tendencias de resultados de QM</t>
  </si>
  <si>
    <t>Determinar capacitaciones, feedback o coaching, charlas en PDs o reuniones de equipo derivadas de oportunidades en los monitoreos de calidad</t>
  </si>
  <si>
    <t>Documentar evidencia de entrenamientos derivadas de oportunidades en los monitoreos de calidad</t>
  </si>
  <si>
    <t>M07</t>
  </si>
  <si>
    <t>M07.1: Analizar resultados Programa de Evaluación de Calidad Independiente (Mystery Shopper)</t>
  </si>
  <si>
    <t>Compartir resultados Mystery Shopper</t>
  </si>
  <si>
    <t>M08</t>
  </si>
  <si>
    <t>M08.1: Evaluar y analizar trimestralmente resultados de IMSP vs Monitoreos propios</t>
  </si>
  <si>
    <t>P01</t>
  </si>
  <si>
    <t>Generar y actualizar calculadora para facilitar comprensión del scorecard para los agentes</t>
  </si>
  <si>
    <t>Hacer cálculos de incentivos mensuales y comunicarlos a los agentes</t>
  </si>
  <si>
    <t>P02</t>
  </si>
  <si>
    <t>Implementar sistema de reconocimiento para top performers</t>
  </si>
  <si>
    <t>P04</t>
  </si>
  <si>
    <t>Establecer y mantener roadmap de capacitación estructurado</t>
  </si>
  <si>
    <t>Dar visibilidad a agentes del plan de entrenamiento (Roadmap) y asegurar su comprensión</t>
  </si>
  <si>
    <t>Generar cursos de acuerdo con IDPs de agentes</t>
  </si>
  <si>
    <t>Generar cursos de acuerdo con resultado de los Quiz, cuando se detectan oportunidades</t>
  </si>
  <si>
    <t>Generación de cursos de acuerdo con Oportunidades observadas en los coachings</t>
  </si>
  <si>
    <t>Generación de cursos de acuerdo con Oportunidades observadas en los reportes</t>
  </si>
  <si>
    <t>Generación de cursos de acuerdo con Oportunidades observadas en los monitoreos de calidad</t>
  </si>
  <si>
    <t>P05</t>
  </si>
  <si>
    <t>Realizar ejercicios de verificación de habilidades y conocimiento (Quiz) y planes de acción de acuerdo con resultados</t>
  </si>
  <si>
    <t>Realizar correciones de los Quiz y comunicación de resultados al equipo, definiendo nota de aprobación</t>
  </si>
  <si>
    <t>P07</t>
  </si>
  <si>
    <t>Establecer programa de coaching formalizado para agentes de CS y ejecutarlo mensualmente</t>
  </si>
  <si>
    <t>Programar sesiones de coaching mensual para todos los agentes en períodos Non-peak</t>
  </si>
  <si>
    <t>Aseguirar registro para dar visibilidad del coaching mensual a los agentes de cada equipo</t>
  </si>
  <si>
    <t>Realizar feedback inmediato a los agentes con baja performance en algún KPI según corresponda</t>
  </si>
  <si>
    <t>P08</t>
  </si>
  <si>
    <t>Realizar coaching mensual en formato T-GROW para cada agente</t>
  </si>
  <si>
    <t>P09</t>
  </si>
  <si>
    <t>Realizar ejercicios de calibración de QM trimestrales</t>
  </si>
  <si>
    <t>P10</t>
  </si>
  <si>
    <t>Realizar monitoreos de calidad regulares según cuota mensual para todos los agentes</t>
  </si>
  <si>
    <t>Asegurarse de dar feedback de las evaluaciones de calidad (monitoreos) con oportunidades de mejora y dejar los registros en el Quality form</t>
  </si>
  <si>
    <t>P11</t>
  </si>
  <si>
    <t>Implementar Plan de actividades de team building, motivacionales e inspiracionales y documentar evidencia</t>
  </si>
  <si>
    <t>P12</t>
  </si>
  <si>
    <t>Implementar planes de acción para mejorar resultados de EOS</t>
  </si>
  <si>
    <t>T01</t>
  </si>
  <si>
    <t>T01.1: Definir y comunicar proceso de "Quality Sales Lead" con Comercial y revisión con equipo de FL</t>
  </si>
  <si>
    <t>T02</t>
  </si>
  <si>
    <t>T02.1: Asegurar gestión de Remote Bookings según Global SOP</t>
  </si>
  <si>
    <t>T03</t>
  </si>
  <si>
    <t>T03.1: Asegurar uso correcto de sistema de booking y procedimientos globales</t>
  </si>
  <si>
    <t>T05</t>
  </si>
  <si>
    <t>T05.1: Asegurar uso preciso de sistema de gestión de casos (GEMA/SPARK) para traces</t>
  </si>
  <si>
    <t>T06</t>
  </si>
  <si>
    <t>T06.1: Asegurar cumplimiento de política de tiempo esperado de contacto en sistema para seguimiento de Backline (callbacks)</t>
  </si>
  <si>
    <t>Analizar performance callbaks, realizar feedbacks inmediatos a agentes de BL/KAD por fallas en el cumplimiento y documentar acciones</t>
  </si>
  <si>
    <t>T07</t>
  </si>
  <si>
    <t>T07.1: Asegurar uso preciso de sistema de gestión de casos para Claims</t>
  </si>
  <si>
    <t>T08</t>
  </si>
  <si>
    <t>T08.1: Asegurar uso preciso de sistema para Complaints y Guía de Recuperación de Servicio</t>
  </si>
  <si>
    <t>T09</t>
  </si>
  <si>
    <t>Asegurar entendimiento y aplicación de la matriz de empoderamiento por equipo FL/BL/KAD</t>
  </si>
  <si>
    <t>T10</t>
  </si>
  <si>
    <t>T10.1: Asegurar carga de plantillas/cartas estándar en sistema de gestión de casos (Gema/Spark)</t>
  </si>
  <si>
    <t>Registrar cartas estándar en Gema/Spark aprobadas por los departamentos correspondientes (Marketing-Legales).</t>
  </si>
  <si>
    <t>Monitorear uso correcto de cartas estándar en Gema/Spark</t>
  </si>
  <si>
    <t>T12</t>
  </si>
  <si>
    <t>T12.1: Asegurar utilización de Herramienta de Reporteo de Cuentas Clave (KART) de acuerdo con Nomination forms. Se aconseja control cruzado entre KADs</t>
  </si>
  <si>
    <t>T13</t>
  </si>
  <si>
    <t>T13.1: Asegurar implementación y cobertura de casos de uso del Asistente Virtual Global (GVA)</t>
  </si>
  <si>
    <t>Documentar acciones de mejora basado en análisis de reportes de GVA</t>
  </si>
  <si>
    <t>T14</t>
  </si>
  <si>
    <t>T14.1: Asegurar disponibilidad y actualización de documentación de enrutamiento de llamadas (FDS/BDC)</t>
  </si>
  <si>
    <t>T15</t>
  </si>
  <si>
    <t>T15.1: Revisar configuración IVR con máximo 3 capas y 5 opciones, y opción a agente en vivo</t>
  </si>
  <si>
    <t>T16</t>
  </si>
  <si>
    <t>T16.1: Revisar configuración de Asistente Automático (AA) para optimizar enrutamiento y acceso a agente</t>
  </si>
  <si>
    <t>TOP 10 TAREAS MÁS ANTIGUAS POR RESOLVER (haga clic en el Punto COE para ir a la tarea)</t>
  </si>
  <si>
    <t>Carlos Rivas</t>
  </si>
  <si>
    <t>Gestionar trabajo de ausentes</t>
  </si>
  <si>
    <t>Laura Gil</t>
  </si>
  <si>
    <t>Elena Soto</t>
  </si>
  <si>
    <t>M05.1: Revisar diariamente resultados de desempeño e implementar acciones correctivas</t>
  </si>
  <si>
    <t>Ejecutar reuniones de equipo según calendario</t>
  </si>
  <si>
    <t>Distribuir reportes de desempeño</t>
  </si>
  <si>
    <t>Monitoreo en Tiempo Real (RTA)</t>
  </si>
  <si>
    <t>Rol Variable</t>
  </si>
  <si>
    <t>¿Está Activo en este País?</t>
  </si>
  <si>
    <t>Rol</t>
  </si>
  <si>
    <t>¿El rol está activo?</t>
  </si>
  <si>
    <t>Supervisor KAD</t>
  </si>
  <si>
    <t>L10</t>
  </si>
  <si>
    <t>L16</t>
  </si>
  <si>
    <t>L17</t>
  </si>
  <si>
    <t>L22</t>
  </si>
  <si>
    <t>M02</t>
  </si>
  <si>
    <t>M09</t>
  </si>
  <si>
    <t>P03</t>
  </si>
  <si>
    <t>P06</t>
  </si>
  <si>
    <t>T04</t>
  </si>
  <si>
    <t>T11</t>
  </si>
  <si>
    <t xml:space="preserve"> </t>
  </si>
  <si>
    <t>CODE</t>
  </si>
  <si>
    <t>How will this be verified?</t>
  </si>
  <si>
    <t>ID_Tarea_Maestra</t>
  </si>
  <si>
    <t>Nombre_Tarea_Especifica</t>
  </si>
  <si>
    <t>Descripcion_Instrucciones_Claras</t>
  </si>
  <si>
    <t>Punto COE</t>
  </si>
  <si>
    <t>Code</t>
  </si>
  <si>
    <t>Sí</t>
  </si>
  <si>
    <t>(*) Seleccionar los nombres de los miembros de cada equipo si se quieren dividir las tareas por cada uno de ellos.</t>
  </si>
  <si>
    <t xml:space="preserve"> L01      </t>
  </si>
  <si>
    <r>
      <rPr>
        <b/>
        <sz val="11"/>
        <color theme="1"/>
        <rFont val="Calibri"/>
        <family val="2"/>
        <scheme val="minor"/>
      </rPr>
      <t>Staff Interviews:</t>
    </r>
    <r>
      <rPr>
        <sz val="11"/>
        <color theme="1"/>
        <rFont val="Calibri"/>
        <family val="2"/>
        <scheme val="minor"/>
      </rPr>
      <t xml:space="preserve"> Conduct interviews with staff members across all sections including Advisors, Supervisors, Team Leaders, Managers, and Customer Service Development personnel, to assess their knowledge of the CSE Scorecard. During these interviews, staff will be asked to state and/or demonstrate their familiarity with the Scorecard by referencing it on platforms such as SharePoint, SmartConnect, PPMT, or by showing the card at their workstation.</t>
    </r>
  </si>
  <si>
    <t>L01-01</t>
  </si>
  <si>
    <t>Gerente define y aprueba los KPIs relevantes para cada área. CSD apoya en consolidación y formato.</t>
  </si>
  <si>
    <t>L01 _ KPI's _ Global Customer Service Excellence (CSE) Scorecard</t>
  </si>
  <si>
    <r>
      <rPr>
        <b/>
        <sz val="11"/>
        <color theme="1"/>
        <rFont val="Calibri"/>
        <family val="2"/>
        <scheme val="minor"/>
      </rPr>
      <t>Assessment of Knowledge:</t>
    </r>
    <r>
      <rPr>
        <sz val="11"/>
        <color theme="1"/>
        <rFont val="Calibri"/>
        <family val="2"/>
        <scheme val="minor"/>
      </rPr>
      <t xml:space="preserve"> Evaluate the responses to determine whether staff can accurately articulate the components of the CSE Scorecard relevant to their specific areas of control or roles that impact the score.</t>
    </r>
  </si>
  <si>
    <t>L01-02</t>
  </si>
  <si>
    <t>Gerente lidera estrategia, Supervisores capacitan a equipos, CSD prepara material de apoyo.</t>
  </si>
  <si>
    <t>L02 _ Job Descriptions</t>
  </si>
  <si>
    <r>
      <rPr>
        <b/>
        <sz val="11"/>
        <color theme="1"/>
        <rFont val="Calibri"/>
        <family val="2"/>
        <scheme val="minor"/>
      </rPr>
      <t xml:space="preserve">Management Explanation: </t>
    </r>
    <r>
      <rPr>
        <sz val="11"/>
        <color theme="1"/>
        <rFont val="Calibri"/>
        <family val="2"/>
        <scheme val="minor"/>
      </rPr>
      <t>Specifically assess the CS Head, Managers, and Supervisors to ensure they can explain the entire CSE Scorecard comprehensively and demonstrate a thorough understanding of its metrics and implications for performance.</t>
    </r>
  </si>
  <si>
    <t>L01-03</t>
  </si>
  <si>
    <t>Realizar simulacros de entrevistas para asegurar que personal pueda explicar KPIs y acceder al Scorecard.</t>
  </si>
  <si>
    <t>L03 _ Communication</t>
  </si>
  <si>
    <t xml:space="preserve"> L02      </t>
  </si>
  <si>
    <r>
      <rPr>
        <b/>
        <sz val="11"/>
        <color theme="1"/>
        <rFont val="Calibri"/>
        <family val="2"/>
        <scheme val="minor"/>
      </rPr>
      <t>Job Description Review:</t>
    </r>
    <r>
      <rPr>
        <sz val="11"/>
        <color theme="1"/>
        <rFont val="Calibri"/>
        <family val="2"/>
        <scheme val="minor"/>
      </rPr>
      <t xml:space="preserve"> Conduct a comprehensive review of all job descriptions and role profiles to ensure they contain the following elements: Organizational Background and Information, Scope of Role, Accountabilities, Skills/Qualifications, and a Review Date. Additionally, verify if the descriptions are updated with the latest IGs/IKOs within the staff’s area of control. References to IGs/IKOs may be made in separate documentation as needed.</t>
    </r>
  </si>
  <si>
    <t>L01-04</t>
  </si>
  <si>
    <t>Asegurar que Gerencia y Supervisores expliquen el Scorecard</t>
  </si>
  <si>
    <t>Gerente auto-prepara y prepara a Supervisores en todas las métricas, cálculo e impacto.</t>
  </si>
  <si>
    <t>L04 _ Workforce Management Call _ Forecasting FL</t>
  </si>
  <si>
    <r>
      <rPr>
        <b/>
        <sz val="11"/>
        <color theme="1"/>
        <rFont val="Calibri"/>
        <family val="2"/>
        <scheme val="minor"/>
      </rPr>
      <t>Availability Check:</t>
    </r>
    <r>
      <rPr>
        <sz val="11"/>
        <color theme="1"/>
        <rFont val="Calibri"/>
        <family val="2"/>
        <scheme val="minor"/>
      </rPr>
      <t xml:space="preserve"> Confirm that all job descriptions and role profiles are readily available for review, ensuring accessibility for all staff members.</t>
    </r>
  </si>
  <si>
    <t>L01-05</t>
  </si>
  <si>
    <t>CSD gestiona plataformas, Supervisores verifican en puestos de trabajo. La tarea es la verificación.</t>
  </si>
  <si>
    <t>L05 _ Workforce Management Call _ Tracking of Variance</t>
  </si>
  <si>
    <r>
      <rPr>
        <b/>
        <sz val="11"/>
        <color theme="1"/>
        <rFont val="Calibri"/>
        <family val="2"/>
        <scheme val="minor"/>
      </rPr>
      <t>Staff Interviews:</t>
    </r>
    <r>
      <rPr>
        <sz val="11"/>
        <color theme="1"/>
        <rFont val="Calibri"/>
        <family val="2"/>
        <scheme val="minor"/>
      </rPr>
      <t xml:space="preserve"> Interview all staff, including Advisors (FL, BL, C&amp;C, KA), Supervisors, Team Leaders, Managers, and Customer Service Development personnel, to verify their understanding of their job descriptions. Staff will be asked to provide their job descriptions, either in hard copy or online, to confirm their familiarity with the expectations and responsibilities of their roles.</t>
    </r>
  </si>
  <si>
    <t>L02-01</t>
  </si>
  <si>
    <t>Gerente lidera y aprueba revisión anual de JDs en colaboración con HR y CSD.</t>
  </si>
  <si>
    <t>L06 _ Workforce Management Chat _ Forecasting Chat</t>
  </si>
  <si>
    <t>No se usan en esta versión</t>
  </si>
  <si>
    <r>
      <rPr>
        <b/>
        <sz val="11"/>
        <color theme="1"/>
        <rFont val="Calibri"/>
        <family val="2"/>
        <scheme val="minor"/>
      </rPr>
      <t>MyTalentWorld/Local HR System Verification:</t>
    </r>
    <r>
      <rPr>
        <sz val="11"/>
        <color theme="1"/>
        <rFont val="Calibri"/>
        <family val="2"/>
        <scheme val="minor"/>
      </rPr>
      <t xml:space="preserve"> Review the MyTalentWorld/Local HR system to ensure it contains essential components such as Goals (Entry/Target/Maximum), Performance Reviews, and Development Plans.</t>
    </r>
  </si>
  <si>
    <t>L02-02</t>
  </si>
  <si>
    <t>Supervisores comunican JDs a sus equipos y Gerente a reportes directos.</t>
  </si>
  <si>
    <t>L07 _ Workforce Management Chat _ Tracking of Variance</t>
  </si>
  <si>
    <r>
      <rPr>
        <b/>
        <sz val="11"/>
        <color theme="1"/>
        <rFont val="Calibri"/>
        <family val="2"/>
        <scheme val="minor"/>
      </rPr>
      <t>Information Retrieval Interviews:</t>
    </r>
    <r>
      <rPr>
        <sz val="11"/>
        <color theme="1"/>
        <rFont val="Calibri"/>
        <family val="2"/>
        <scheme val="minor"/>
      </rPr>
      <t xml:space="preserve"> Conduct interviews with all staff members to verify their ability to access and provide related information from the MyTalentWorld/Local HR system, whether in soft or hard copy or through online access.</t>
    </r>
  </si>
  <si>
    <t>L02-03</t>
  </si>
  <si>
    <t>Gerente asegura cumplimiento y Supervisores actualizan datos de objetivos, desempeño y desarrollo.</t>
  </si>
  <si>
    <t>L08 _ Workforce Management Call &amp; Chat _ Peak/No Peak Periods</t>
  </si>
  <si>
    <t xml:space="preserve"> L03      </t>
  </si>
  <si>
    <r>
      <rPr>
        <b/>
        <sz val="11"/>
        <color theme="1"/>
        <rFont val="Calibri"/>
        <family val="2"/>
        <scheme val="minor"/>
      </rPr>
      <t xml:space="preserve">Communication Accessibility Review: </t>
    </r>
    <r>
      <rPr>
        <sz val="11"/>
        <color theme="1"/>
        <rFont val="Calibri"/>
        <family val="2"/>
        <scheme val="minor"/>
      </rPr>
      <t>Verify that all forms of communication regarding daily, weekly, and monthly performance, expectations/goals, updates on processes, procedures, guidelines, standards, events, and BDP are shared through various channels such as emails, SmartConnect, SharePoint, shared folders, newsletters, and MS Teams. Confirm that this communication is accessible to all staff and has been available for a minimum of three months.</t>
    </r>
  </si>
  <si>
    <t>L02-04</t>
  </si>
  <si>
    <t>Preparación para Auditoría - Simulacro JDs</t>
  </si>
  <si>
    <t>Capacitar y realizar simulacros con personal para que puedan acceder y explicar su JD y su relación con objetivos.</t>
  </si>
  <si>
    <t>L09 _ Workforce Management _ Forecasting BL/KAD</t>
  </si>
  <si>
    <r>
      <rPr>
        <b/>
        <sz val="11"/>
        <color theme="1"/>
        <rFont val="Calibri"/>
        <family val="2"/>
        <scheme val="minor"/>
      </rPr>
      <t xml:space="preserve">Meeting Documentation Assessment: </t>
    </r>
    <r>
      <rPr>
        <sz val="11"/>
        <color theme="1"/>
        <rFont val="Calibri"/>
        <family val="2"/>
        <scheme val="minor"/>
      </rPr>
      <t>Review documentation related to weekly and monthly meetings, including meeting invitations, agendas, presentations, and minutes. Ensure that these documents include action plans and follow-ups until closure. Verify that all relevant materials are accessible to staff for a minimum of three months while ensuring that any confidential information discussed in meetings is appropriately restricted from general access.</t>
    </r>
  </si>
  <si>
    <t>L02-05</t>
  </si>
  <si>
    <t>Gerente define repositorio, CSD apoya en gestión. La tarea es la verificación.</t>
  </si>
  <si>
    <t>L10 _ Workforce Management _ Overflowing Calls</t>
  </si>
  <si>
    <r>
      <rPr>
        <b/>
        <sz val="11"/>
        <color theme="1"/>
        <rFont val="Calibri"/>
        <family val="2"/>
        <scheme val="minor"/>
      </rPr>
      <t>KPI Performance Availability Check:</t>
    </r>
    <r>
      <rPr>
        <sz val="11"/>
        <color theme="1"/>
        <rFont val="Calibri"/>
        <family val="2"/>
        <scheme val="minor"/>
      </rPr>
      <t xml:space="preserve"> Confirm that KPI performance data for the previous day and month-to-date is readily available to staff through multiple platforms, including but not limited to PPMT, email, MS Teams, wallboards, notice boards, SmartConnect, and SharePoint.</t>
    </r>
  </si>
  <si>
    <t>L03-01</t>
  </si>
  <si>
    <t>Supervisores ejecutan las reuniones diarias/semanales con sus equipos.</t>
  </si>
  <si>
    <t>L11 _ Operations Management _ Planned Paid Leave - Track Unpaid and Unplanned</t>
  </si>
  <si>
    <r>
      <rPr>
        <b/>
        <sz val="11"/>
        <color theme="1"/>
        <rFont val="Calibri"/>
        <family val="2"/>
        <scheme val="minor"/>
      </rPr>
      <t>Access Verification:</t>
    </r>
    <r>
      <rPr>
        <sz val="11"/>
        <color theme="1"/>
        <rFont val="Calibri"/>
        <family val="2"/>
        <scheme val="minor"/>
      </rPr>
      <t xml:space="preserve"> Conduct spot checks to ensure that staff members can access the communications and performance reports, confirming that the information is current and available as required.</t>
    </r>
  </si>
  <si>
    <t>L03-02</t>
  </si>
  <si>
    <t>Ejecutar reunión departamental mensual</t>
  </si>
  <si>
    <t>Gerente lidera la reunión mensual con todo el departamento.</t>
  </si>
  <si>
    <t>L12 _ Operations Management _ Plan to cover for Ad-Hoc Absenteeism (Buddy System in KAD and BL)</t>
  </si>
  <si>
    <t xml:space="preserve"> L04      </t>
  </si>
  <si>
    <r>
      <rPr>
        <b/>
        <sz val="11"/>
        <color theme="1"/>
        <rFont val="Calibri"/>
        <family val="2"/>
        <scheme val="minor"/>
      </rPr>
      <t xml:space="preserve">Methodology Review: </t>
    </r>
    <r>
      <rPr>
        <sz val="11"/>
        <color theme="1"/>
        <rFont val="Calibri"/>
        <family val="2"/>
        <scheme val="minor"/>
      </rPr>
      <t>Confirm that the call forecasting methodology is based on key factors such as historical call patterns (Month on Month, Year on Year), actual average handling time, expected growth in shipments or customer base, seasonal or situational fluctuations, pre/post-holiday factors, and achieving a Grade of Service in accordance with global standards. Documentation outlining the methodology will be reviewed to ensure all relevant factors are included.</t>
    </r>
  </si>
  <si>
    <t>L03-03</t>
  </si>
  <si>
    <t>CSD genera y distribuye reportes base. Supervisores comunican y explican a equipos.</t>
  </si>
  <si>
    <t>L13 _ Operations Management _ Contingency Plan</t>
  </si>
  <si>
    <r>
      <rPr>
        <b/>
        <sz val="11"/>
        <color theme="1"/>
        <rFont val="Calibri"/>
        <family val="2"/>
        <scheme val="minor"/>
      </rPr>
      <t>Forecast Availability Assessment:</t>
    </r>
    <r>
      <rPr>
        <sz val="11"/>
        <color theme="1"/>
        <rFont val="Calibri"/>
        <family val="2"/>
        <scheme val="minor"/>
      </rPr>
      <t xml:space="preserve"> Verify that forecasts are generated at various intervals, including 15 minutes, 30 minutes, hourly, daily, weekly, monthly, quarterly, and yearly, based on system availability. This will involve checking the forecasting system to ensure that these forecasts are accessible.</t>
    </r>
  </si>
  <si>
    <t>L04-01</t>
  </si>
  <si>
    <t>CSD genera el forecast mensual de llamadas según metodología.</t>
  </si>
  <si>
    <t>L14 _ KAD has clear Activation and Deactivation Process</t>
  </si>
  <si>
    <r>
      <rPr>
        <b/>
        <sz val="11"/>
        <color theme="1"/>
        <rFont val="Calibri"/>
        <family val="2"/>
        <scheme val="minor"/>
      </rPr>
      <t>Shrinkage Representation Check:</t>
    </r>
    <r>
      <rPr>
        <sz val="11"/>
        <color theme="1"/>
        <rFont val="Calibri"/>
        <family val="2"/>
        <scheme val="minor"/>
      </rPr>
      <t xml:space="preserve"> Review the shrinkage calculations used in the forecasting process to ensure they accurately represent the center's short-term, medium-term, and long-term forecasts.</t>
    </r>
  </si>
  <si>
    <t>L04-02</t>
  </si>
  <si>
    <t>CSD realiza auto-revisión y Gerente revisa los forecasts clave.</t>
  </si>
  <si>
    <t>L15 _ KAD Customer Requirements and Expectations</t>
  </si>
  <si>
    <r>
      <rPr>
        <b/>
        <sz val="11"/>
        <color theme="1"/>
        <rFont val="Calibri"/>
        <family val="2"/>
        <scheme val="minor"/>
      </rPr>
      <t>Actual vs. Forecast Validation:</t>
    </r>
    <r>
      <rPr>
        <sz val="11"/>
        <color theme="1"/>
        <rFont val="Calibri"/>
        <family val="2"/>
        <scheme val="minor"/>
      </rPr>
      <t xml:space="preserve"> Confirm that actual results are compared against the forecasts at least every 30 minutes or hourly. Additionally, verify that daily, weekly, and monthly validations are conducted to ensure alignment with long-term plans. This will involve examining validation reports and documentation.</t>
    </r>
  </si>
  <si>
    <t>L04-03</t>
  </si>
  <si>
    <t>Revisión semestral de la metodología documentada.</t>
  </si>
  <si>
    <t>L16 _ Efficiency _ CS Cost, Efficiency and Productivity Optimization</t>
  </si>
  <si>
    <r>
      <rPr>
        <b/>
        <sz val="11"/>
        <color theme="1"/>
        <rFont val="Calibri"/>
        <family val="2"/>
        <scheme val="minor"/>
      </rPr>
      <t>Proactive Re-Forecasting Process Verification:</t>
    </r>
    <r>
      <rPr>
        <sz val="11"/>
        <color theme="1"/>
        <rFont val="Calibri"/>
        <family val="2"/>
        <scheme val="minor"/>
      </rPr>
      <t xml:space="preserve"> Assess the procedures for proactive re-forecasting of resources required to handle call volume. Verify that re-forecasting is conducted when significant variances occur, when the Grade of Service is impacted, or when actual staffing requirements deviate from the forecast. Documentation of these re-forecasting actions will be reviewed for completeness.</t>
    </r>
  </si>
  <si>
    <t>L05-01</t>
  </si>
  <si>
    <t>CSD calcula la variación. Si excede +/-10%, investiga y documenta causas con validación del Gerente.</t>
  </si>
  <si>
    <t>L17 _ Efficiency _ Total Number of CS Headcounts</t>
  </si>
  <si>
    <t xml:space="preserve"> L05      </t>
  </si>
  <si>
    <r>
      <rPr>
        <b/>
        <sz val="11"/>
        <color theme="1"/>
        <rFont val="Calibri"/>
        <family val="2"/>
        <scheme val="minor"/>
      </rPr>
      <t xml:space="preserve">Daily Call Volume Tracking: </t>
    </r>
    <r>
      <rPr>
        <sz val="11"/>
        <color theme="1"/>
        <rFont val="Calibri"/>
        <family val="2"/>
        <scheme val="minor"/>
      </rPr>
      <t>Confirm that call volume is tracked daily and compared against the re-forecasted volume. This will involve reviewing daily reports to ensure that actual call volumes are accurately recorded and assessed.</t>
    </r>
  </si>
  <si>
    <t>L06-01</t>
  </si>
  <si>
    <t>CSD genera el forecast mensual de chats según metodología.</t>
  </si>
  <si>
    <t>L18 _ Revenue Generation _  Sales Requirement _ Targets Upselling-Leads</t>
  </si>
  <si>
    <r>
      <rPr>
        <b/>
        <sz val="11"/>
        <color theme="1"/>
        <rFont val="Calibri"/>
        <family val="2"/>
        <scheme val="minor"/>
      </rPr>
      <t xml:space="preserve">Manpower Adjustment Review: </t>
    </r>
    <r>
      <rPr>
        <sz val="11"/>
        <color theme="1"/>
        <rFont val="Calibri"/>
        <family val="2"/>
        <scheme val="minor"/>
      </rPr>
      <t>Verify that necessary manpower adjustments for the following day are made based on the comparison of actual call volume to the re-forecasted volume. Documentation of these adjustments will be examined to ensure responsiveness to call volume fluctuations.</t>
    </r>
  </si>
  <si>
    <t>L07-01</t>
  </si>
  <si>
    <t>L19 _ Revenue Generation _ CS Selling Campaign</t>
  </si>
  <si>
    <r>
      <rPr>
        <b/>
        <sz val="11"/>
        <color theme="1"/>
        <rFont val="Calibri"/>
        <family val="2"/>
        <scheme val="minor"/>
      </rPr>
      <t xml:space="preserve">Monthly Total Compilation: </t>
    </r>
    <r>
      <rPr>
        <sz val="11"/>
        <color theme="1"/>
        <rFont val="Calibri"/>
        <family val="2"/>
        <scheme val="minor"/>
      </rPr>
      <t>Check that daily totals are accurately cumulated into a monthly total. This will involve reviewing the monthly summary reports to ensure proper aggregation of data.</t>
    </r>
  </si>
  <si>
    <t>L08-01</t>
  </si>
  <si>
    <t>Generar requerimientos de staffing y ajustar horarios</t>
  </si>
  <si>
    <t>CSD genera staffing diario y publica/ajusta horarios semanalmente.</t>
  </si>
  <si>
    <t>L20 _ Revenue Generation _ Quotations to PickUp - Hunter</t>
  </si>
  <si>
    <r>
      <rPr>
        <b/>
        <sz val="11"/>
        <color theme="1"/>
        <rFont val="Calibri"/>
        <family val="2"/>
        <scheme val="minor"/>
      </rPr>
      <t>Monthly Re-Forecast Comparison:</t>
    </r>
    <r>
      <rPr>
        <sz val="11"/>
        <color theme="1"/>
        <rFont val="Calibri"/>
        <family val="2"/>
        <scheme val="minor"/>
      </rPr>
      <t xml:space="preserve"> Assess whether the monthly total call volume is within +/- 10% of the monthly re-forecasted volume. This will involve comparing the actual monthly totals against the re-forecasted figures to identify any variances.</t>
    </r>
  </si>
  <si>
    <t>L08-02</t>
  </si>
  <si>
    <t>CSD (RTA) y Supervisores monitorean desempeño, colas y adherencia. La tarea es la verificación.</t>
  </si>
  <si>
    <t>L21 _ Revenue Generation _ Optional Services</t>
  </si>
  <si>
    <r>
      <rPr>
        <b/>
        <sz val="11"/>
        <color theme="1"/>
        <rFont val="Calibri"/>
        <family val="2"/>
        <scheme val="minor"/>
      </rPr>
      <t xml:space="preserve">Variance Analysis: </t>
    </r>
    <r>
      <rPr>
        <sz val="11"/>
        <color theme="1"/>
        <rFont val="Calibri"/>
        <family val="2"/>
        <scheme val="minor"/>
      </rPr>
      <t>Verify that the reasons for any identified variances are documented and analyzed. This will include reviewing variance reports that highlight the contributing factors to discrepancies between actual and re-forecasted volumes.</t>
    </r>
  </si>
  <si>
    <t>L08-03</t>
  </si>
  <si>
    <t>Revisar y ejecutar planes para periodos de baja actividad</t>
  </si>
  <si>
    <t>Supervisores proponen y ejecutan actividades (coaching, etc.) en ventanas identificadas por CSD.</t>
  </si>
  <si>
    <t>L22 _ Revenue Generation _ SLA CS-COM Revenue Growth</t>
  </si>
  <si>
    <r>
      <rPr>
        <b/>
        <sz val="11"/>
        <color theme="1"/>
        <rFont val="Calibri"/>
        <family val="2"/>
        <scheme val="minor"/>
      </rPr>
      <t>Reforecast Necessity Determination:</t>
    </r>
    <r>
      <rPr>
        <sz val="11"/>
        <color theme="1"/>
        <rFont val="Calibri"/>
        <family val="2"/>
        <scheme val="minor"/>
      </rPr>
      <t xml:space="preserve"> Confirm that a determination is made regarding the necessity of reforecasting for the next month based on the variance analysis. Documentation should reflect the decision-making process and any actions taken.</t>
    </r>
  </si>
  <si>
    <t>L09-01</t>
  </si>
  <si>
    <t>CSD genera forecast mensual de carga de trabajo para BL/KAD.</t>
  </si>
  <si>
    <t>M01 _ Root Cause Analysis _ TR, CL and CO</t>
  </si>
  <si>
    <r>
      <rPr>
        <b/>
        <sz val="11"/>
        <color theme="1"/>
        <rFont val="Calibri"/>
        <family val="2"/>
        <scheme val="minor"/>
      </rPr>
      <t xml:space="preserve">Calculation Review: </t>
    </r>
    <r>
      <rPr>
        <sz val="11"/>
        <color theme="1"/>
        <rFont val="Calibri"/>
        <family val="2"/>
        <scheme val="minor"/>
      </rPr>
      <t>Ensure that the calculation for variance is accurately applied: [(Actual total call volume – Re-forecasted call volume) / Re-forecasted call volume] x 100%. Verification will include checking the calculations in the reports for accuracy.</t>
    </r>
  </si>
  <si>
    <t>L09-02</t>
  </si>
  <si>
    <t>Monitorear y analizar productividad mensual BL/KAD</t>
  </si>
  <si>
    <t>CSD analiza datos, Supervisor BL valida y aporta contexto.</t>
  </si>
  <si>
    <t>M02 _ Managing Customer Experience _ VOICE-NPS</t>
  </si>
  <si>
    <t xml:space="preserve"> L06      </t>
  </si>
  <si>
    <r>
      <rPr>
        <b/>
        <sz val="11"/>
        <color theme="1"/>
        <rFont val="Calibri"/>
        <family val="2"/>
        <scheme val="minor"/>
      </rPr>
      <t xml:space="preserve">Methodology Review: </t>
    </r>
    <r>
      <rPr>
        <sz val="11"/>
        <color theme="1"/>
        <rFont val="Calibri"/>
        <family val="2"/>
        <scheme val="minor"/>
      </rPr>
      <t>Confirm that the Chat Forecasting methodology incorporates key factors such as historical chat patterns (Month on Month, Year on Year), actual average handling time, expected growth in shipments or customer base, seasonal fluctuations, and pre/post-holiday impacts. Documentation of the methodology will be reviewed to ensure all relevant factors are included.</t>
    </r>
  </si>
  <si>
    <t>L10-01</t>
  </si>
  <si>
    <t>Revisar plan de gestión de desbordamiento</t>
  </si>
  <si>
    <t>Revisión semestral del plan formal de overflow.</t>
  </si>
  <si>
    <t>M03 _ Reports _ Measuring Different Areas</t>
  </si>
  <si>
    <r>
      <rPr>
        <b/>
        <sz val="11"/>
        <color theme="1"/>
        <rFont val="Calibri"/>
        <family val="2"/>
        <scheme val="minor"/>
      </rPr>
      <t>Forecast Availability Check:</t>
    </r>
    <r>
      <rPr>
        <sz val="11"/>
        <color theme="1"/>
        <rFont val="Calibri"/>
        <family val="2"/>
        <scheme val="minor"/>
      </rPr>
      <t xml:space="preserve"> Verify that forecasts are generated at various intervals (15 minutes, 30 minutes, hourly, daily, weekly, monthly, and yearly) based on system availability. This will involve examining the forecasting system to confirm that these forecasts are accessible and up to date.</t>
    </r>
  </si>
  <si>
    <t>L10-02</t>
  </si>
  <si>
    <t>Realizar capacitación de refuerzo para overflow</t>
  </si>
  <si>
    <t>Refuerzos trimestrales para personal de apoyo sobre procesos FL.</t>
  </si>
  <si>
    <t>M04 _ Data Management _ Data Collected Quality</t>
  </si>
  <si>
    <r>
      <rPr>
        <b/>
        <sz val="11"/>
        <color theme="1"/>
        <rFont val="Calibri"/>
        <family val="2"/>
        <scheme val="minor"/>
      </rPr>
      <t xml:space="preserve">Shrinkage Representation Verification: </t>
    </r>
    <r>
      <rPr>
        <sz val="11"/>
        <color theme="1"/>
        <rFont val="Calibri"/>
        <family val="2"/>
        <scheme val="minor"/>
      </rPr>
      <t>Review the shrinkage calculations used in the forecasting process to ensure they accurately represent the center’s short-term, medium-term, and long-term forecasts.</t>
    </r>
  </si>
  <si>
    <t>L10-03</t>
  </si>
  <si>
    <t>Realizar simulacro de plan de desbordamiento</t>
  </si>
  <si>
    <t>Pruebas periódicas del plan de overflow.</t>
  </si>
  <si>
    <t>M05 _ Performance Review _ Performance Results Review</t>
  </si>
  <si>
    <r>
      <rPr>
        <b/>
        <sz val="11"/>
        <color theme="1"/>
        <rFont val="Calibri"/>
        <family val="2"/>
        <scheme val="minor"/>
      </rPr>
      <t xml:space="preserve">Actual vs. Forecast Validation: </t>
    </r>
    <r>
      <rPr>
        <sz val="11"/>
        <color theme="1"/>
        <rFont val="Calibri"/>
        <family val="2"/>
        <scheme val="minor"/>
      </rPr>
      <t>Confirm that actual results are compared against the forecasts at least every 30 minutes or hourly. Additionally, verify that daily, weekly, and monthly validations are conducted to ensure alignment with long-term planning. This will involve reviewing validation reports and documentation.</t>
    </r>
  </si>
  <si>
    <t>L11-01</t>
  </si>
  <si>
    <t>Revisar y comunicar política de ausencias</t>
  </si>
  <si>
    <t>Revisión anual de la política y umbrales de ausentismo.</t>
  </si>
  <si>
    <t>M06 _ Quality Monitoring _ Tracked, Trended, and Analyzed</t>
  </si>
  <si>
    <r>
      <rPr>
        <b/>
        <sz val="11"/>
        <color theme="1"/>
        <rFont val="Calibri"/>
        <family val="2"/>
        <scheme val="minor"/>
      </rPr>
      <t>Proactive Re-Forecasting Process Assessment:</t>
    </r>
    <r>
      <rPr>
        <sz val="11"/>
        <color theme="1"/>
        <rFont val="Calibri"/>
        <family val="2"/>
        <scheme val="minor"/>
      </rPr>
      <t xml:space="preserve"> Assess the procedures for proactive re-forecasting of resources required to handle chat volume. Verify that re-forecasting is conducted when significant variances occur when the Chat Response Time is impacted, or when actual staffing requirements deviate from the forecast. Documentation of these re-forecasting actions will be reviewed for completeness.</t>
    </r>
  </si>
  <si>
    <t>L11-02</t>
  </si>
  <si>
    <t>Proceso de planificación de vacaciones para asegurar cobertura.</t>
  </si>
  <si>
    <t>M07 _ Independent Quality Assessment _ Mystery Shopper Program</t>
  </si>
  <si>
    <t xml:space="preserve"> L07      </t>
  </si>
  <si>
    <r>
      <rPr>
        <b/>
        <sz val="11"/>
        <color theme="1"/>
        <rFont val="Calibri"/>
        <family val="2"/>
        <scheme val="minor"/>
      </rPr>
      <t>Daily Volume Tracking</t>
    </r>
    <r>
      <rPr>
        <sz val="11"/>
        <color theme="1"/>
        <rFont val="Calibri"/>
        <family val="2"/>
        <scheme val="minor"/>
      </rPr>
      <t>: Confirm that chat volume is tracked separately on a daily basis and compared against the re-forecasted volume. This will involve reviewing daily reports to ensure accurate recording and assessment of chat interactions.</t>
    </r>
  </si>
  <si>
    <t>L11-03</t>
  </si>
  <si>
    <t>Tarea diaria de asegurar que todas las ausencias del día anterior están registradas.</t>
  </si>
  <si>
    <t>M08 _ Independent Quality Assessment _ Evaluated and Analyzed</t>
  </si>
  <si>
    <r>
      <rPr>
        <b/>
        <sz val="11"/>
        <color theme="1"/>
        <rFont val="Calibri"/>
        <family val="2"/>
        <scheme val="minor"/>
      </rPr>
      <t xml:space="preserve">Manpower Adjustment Review: </t>
    </r>
    <r>
      <rPr>
        <sz val="11"/>
        <color theme="1"/>
        <rFont val="Calibri"/>
        <family val="2"/>
        <scheme val="minor"/>
      </rPr>
      <t>Verify that necessary manpower adjustments for the following day are made based on the comparison of actual chat volume to the re-forecasted volume. Documentation of these adjustments will be examined to ensure responsiveness to volume fluctuations.</t>
    </r>
  </si>
  <si>
    <t>L12-01</t>
  </si>
  <si>
    <t>Revisión semestral del plan y actualización trimestral de la lista de buddys.</t>
  </si>
  <si>
    <t>M09 _ KPI Management _ Wallboard and Performance</t>
  </si>
  <si>
    <r>
      <rPr>
        <b/>
        <sz val="11"/>
        <color theme="1"/>
        <rFont val="Calibri"/>
        <family val="2"/>
        <scheme val="minor"/>
      </rPr>
      <t xml:space="preserve">Monthly Total Compilation: </t>
    </r>
    <r>
      <rPr>
        <sz val="11"/>
        <color theme="1"/>
        <rFont val="Calibri"/>
        <family val="2"/>
        <scheme val="minor"/>
      </rPr>
      <t>Check that daily chat volumes are accurately cumulated into a monthly total. This will involve reviewing the monthly summary reports to confirm proper aggregation of data.</t>
    </r>
  </si>
  <si>
    <t>L12-02</t>
  </si>
  <si>
    <t>Tarea diaria de asegurar que el trabajo urgente de empleados ausentes es gestionado por buddy/supervisor.</t>
  </si>
  <si>
    <t>P01 _ Reward and Recognition _ Smart Incentive System</t>
  </si>
  <si>
    <r>
      <rPr>
        <b/>
        <sz val="11"/>
        <color theme="1"/>
        <rFont val="Calibri"/>
        <family val="2"/>
        <scheme val="minor"/>
      </rPr>
      <t xml:space="preserve">Monthly Re-Forecast Comparison: </t>
    </r>
    <r>
      <rPr>
        <sz val="11"/>
        <color theme="1"/>
        <rFont val="Calibri"/>
        <family val="2"/>
        <scheme val="minor"/>
      </rPr>
      <t>Assess whether the monthly total chat volume is within +/- 10% of the monthly re-forecasted volume. This will include comparing the actual monthly totals against the re-forecasted figures to identify any variances.</t>
    </r>
  </si>
  <si>
    <t>L13-01</t>
  </si>
  <si>
    <t>Revisar Plan de Continuidad del Negocio (BCP)</t>
  </si>
  <si>
    <t>Revisión anual completa del BCP, involucrando a todos los líderes.</t>
  </si>
  <si>
    <t>P02 _ Reward and Recognition _ Recognition Top Performers</t>
  </si>
  <si>
    <t>L13-02</t>
  </si>
  <si>
    <t>Realizar simulacro del Plan de Contingencia</t>
  </si>
  <si>
    <t>Pruebas semestrales de diferentes escenarios del BCP.</t>
  </si>
  <si>
    <t>P03 _ Training _ Induction Course New Staff</t>
  </si>
  <si>
    <t>L13-03</t>
  </si>
  <si>
    <t>Verificar accesibilidad del Plan de Contingencia</t>
  </si>
  <si>
    <t>Verificación mensual de que el plan está accesible en todos los canales designados.</t>
  </si>
  <si>
    <t>P04 _ Training _ Structured RoadMap</t>
  </si>
  <si>
    <r>
      <rPr>
        <b/>
        <sz val="11"/>
        <color theme="1"/>
        <rFont val="Calibri"/>
        <family val="2"/>
        <scheme val="minor"/>
      </rPr>
      <t xml:space="preserve">Calculation Verification: </t>
    </r>
    <r>
      <rPr>
        <sz val="11"/>
        <color theme="1"/>
        <rFont val="Calibri"/>
        <family val="2"/>
        <scheme val="minor"/>
      </rPr>
      <t>Ensure that the calculation for variance is accurately applied: [(Actual total chat volume – Re-forecasted chat volume) / Re-forecasted chat volume] x 100%. Verification will include checking the calculations in the reports for accuracy.</t>
    </r>
  </si>
  <si>
    <t>L14-01</t>
  </si>
  <si>
    <t>Realizar auto-auditoría del proceso KAD</t>
  </si>
  <si>
    <t>Verificación trimestral del cumplimiento del proceso KAD (formularios, aprobaciones, etc.).</t>
  </si>
  <si>
    <t>P05 _ Training _ Skill Verification Exercises</t>
  </si>
  <si>
    <t xml:space="preserve"> L08      </t>
  </si>
  <si>
    <r>
      <rPr>
        <b/>
        <sz val="11"/>
        <color theme="1"/>
        <rFont val="Calibri"/>
        <family val="2"/>
        <scheme val="minor"/>
      </rPr>
      <t xml:space="preserve">Monitoring Process: </t>
    </r>
    <r>
      <rPr>
        <sz val="11"/>
        <color theme="1"/>
        <rFont val="Calibri"/>
        <family val="2"/>
        <scheme val="minor"/>
      </rPr>
      <t>Confirm that designated individuals in all relevant sections are actively monitoring real-time phone and chat performance metrics, including call patterns, volume, and queue status. This will involve reviewing logs and reports that demonstrate ongoing oversight.</t>
    </r>
  </si>
  <si>
    <t>L15-01</t>
  </si>
  <si>
    <t>Revisar y actualizar perfiles de clientes KAD</t>
  </si>
  <si>
    <t>Revisión y actualización semestral de los perfiles de CADA cliente KAD.</t>
  </si>
  <si>
    <t>P06 _ Training _ New Staff "Going" Live</t>
  </si>
  <si>
    <r>
      <rPr>
        <b/>
        <sz val="11"/>
        <color theme="1"/>
        <rFont val="Calibri"/>
        <family val="2"/>
        <scheme val="minor"/>
      </rPr>
      <t>Performance Metrics Review:</t>
    </r>
    <r>
      <rPr>
        <sz val="11"/>
        <color theme="1"/>
        <rFont val="Calibri"/>
        <family val="2"/>
        <scheme val="minor"/>
      </rPr>
      <t xml:space="preserve"> Verify that the monitoring includes assessments of manpower status and adherence to schedules. Documentation of any deviations from the schedule will be examined to ensure appropriate actions are taken.</t>
    </r>
  </si>
  <si>
    <t>L16-01</t>
  </si>
  <si>
    <t>Realizar revisión semestral de eficiencia</t>
  </si>
  <si>
    <t>Ciclo formal de revisión de eficiencia y productividad para identificar oportunidades de mejora.</t>
  </si>
  <si>
    <t>P07 _ Coaching _ Elements of Coaching</t>
  </si>
  <si>
    <r>
      <rPr>
        <b/>
        <sz val="11"/>
        <color theme="1"/>
        <rFont val="Calibri"/>
        <family val="2"/>
        <scheme val="minor"/>
      </rPr>
      <t xml:space="preserve">Analysis of Abnormal Metrics: </t>
    </r>
    <r>
      <rPr>
        <sz val="11"/>
        <color theme="1"/>
        <rFont val="Calibri"/>
        <family val="2"/>
        <scheme val="minor"/>
      </rPr>
      <t>Assess records related to abnormal metrics such as long Average Handling Time (AHT), After Call Work (ACW), and Auxiliary (AUX) time. Evidence of monitoring actions taken in response to these abnormalities should be documented and available for review.</t>
    </r>
  </si>
  <si>
    <t>L17-01</t>
  </si>
  <si>
    <t>Realizar conciliación mensual de headcount</t>
  </si>
  <si>
    <t>Conciliación formal del headcount de CS contra reportes de HR y Finanzas.</t>
  </si>
  <si>
    <t>P08 _ Coaching _ TGROW framework</t>
  </si>
  <si>
    <r>
      <rPr>
        <b/>
        <sz val="11"/>
        <color theme="1"/>
        <rFont val="Calibri"/>
        <family val="2"/>
        <scheme val="minor"/>
      </rPr>
      <t>Staff Utilization Plan Verification:</t>
    </r>
    <r>
      <rPr>
        <sz val="11"/>
        <color theme="1"/>
        <rFont val="Calibri"/>
        <family val="2"/>
        <scheme val="minor"/>
      </rPr>
      <t xml:space="preserve"> Review the staff utilization plan to ensure it is in place for both peak and non-peak intervals. This includes verifying that measures are established for overflow calls and backup resources during peak periods to assist Frontline staff and minimize breaks.</t>
    </r>
  </si>
  <si>
    <t>L18-01</t>
  </si>
  <si>
    <t>Revisar y comunicar objetivos de generación de ingresos</t>
  </si>
  <si>
    <t>Refuerzo mensual sobre objetivos de ventas, upselling y leads.</t>
  </si>
  <si>
    <t>P09 _ Quality Monitoring _ Calibration Exercise</t>
  </si>
  <si>
    <r>
      <rPr>
        <b/>
        <sz val="11"/>
        <color theme="1"/>
        <rFont val="Calibri"/>
        <family val="2"/>
        <scheme val="minor"/>
      </rPr>
      <t>Non-Peak Period Activities Review:</t>
    </r>
    <r>
      <rPr>
        <sz val="11"/>
        <color theme="1"/>
        <rFont val="Calibri"/>
        <family val="2"/>
        <scheme val="minor"/>
      </rPr>
      <t xml:space="preserve"> Confirm that during non-peak periods, scheduled coaching, briefing, and training sessions are documented and conducted as planned. This will involve examining training schedules and attendance records.</t>
    </r>
  </si>
  <si>
    <t>L18-02</t>
  </si>
  <si>
    <t>Capacitar en técnicas de venta/upselling</t>
  </si>
  <si>
    <t>Capacitación de refuerzo trimestral sobre técnicas de venta y conocimiento de producto.</t>
  </si>
  <si>
    <t>P10 _ Quality Monitoring _ Remote and Side by Side</t>
  </si>
  <si>
    <r>
      <rPr>
        <b/>
        <sz val="11"/>
        <color theme="1"/>
        <rFont val="Calibri"/>
        <family val="2"/>
        <scheme val="minor"/>
      </rPr>
      <t>Evidence of Monitoring Actions:</t>
    </r>
    <r>
      <rPr>
        <sz val="11"/>
        <color theme="1"/>
        <rFont val="Calibri"/>
        <family val="2"/>
        <scheme val="minor"/>
      </rPr>
      <t xml:space="preserve"> Ensure that evidence of monitoring actions is available or can be explained by the delegated individuals. This may include reports, meeting notes, or other documentation that illustrates how performance metrics are being managed and improved.</t>
    </r>
  </si>
  <si>
    <t>L19-01</t>
  </si>
  <si>
    <t>Seguimiento semanal del desempeño de las campañas de venta en curso.</t>
  </si>
  <si>
    <t>P11 _ Motivation _ Team Building and Motivation</t>
  </si>
  <si>
    <t xml:space="preserve"> L09      </t>
  </si>
  <si>
    <r>
      <rPr>
        <b/>
        <sz val="11"/>
        <color theme="1"/>
        <rFont val="Calibri"/>
        <family val="2"/>
        <scheme val="minor"/>
      </rPr>
      <t>Trace Volume Projection Review:</t>
    </r>
    <r>
      <rPr>
        <sz val="11"/>
        <color theme="1"/>
        <rFont val="Calibri"/>
        <family val="2"/>
        <scheme val="minor"/>
      </rPr>
      <t xml:space="preserve"> Confirm that trace volume projections are estimated based on the Annual Operating Plan (AOP) shipment volume, Operations shipment forecast, shipment patterns, and trace ratios. Documentation of these projections will be reviewed to ensure accuracy and alignment with operational goals.</t>
    </r>
  </si>
  <si>
    <t>L20-01</t>
  </si>
  <si>
    <t>Monitorear tasa de conversión de cotizaciones</t>
  </si>
  <si>
    <t>Análisis mensual de la tasa de conversión y causas de no conversión.</t>
  </si>
  <si>
    <t>P12 _ EOS Action Plans</t>
  </si>
  <si>
    <r>
      <rPr>
        <b/>
        <sz val="11"/>
        <color theme="1"/>
        <rFont val="Calibri"/>
        <family val="2"/>
        <scheme val="minor"/>
      </rPr>
      <t xml:space="preserve">Request Type Projections Assessment: </t>
    </r>
    <r>
      <rPr>
        <sz val="11"/>
        <color theme="1"/>
        <rFont val="Calibri"/>
        <family val="2"/>
        <scheme val="minor"/>
      </rPr>
      <t>Verify that separate projections are established for different types of requests and work, including Customer/Local Initiated Requests, Network Requests, and Pro-active Traces. This will involve examining the methodology used for these projections.</t>
    </r>
  </si>
  <si>
    <t>L21-01</t>
  </si>
  <si>
    <t>Monitoreo semanal (calidad) para asegurar que el personal ofrece OSS y proveer coaching.</t>
  </si>
  <si>
    <t>T01 _ Revenue Generation _ Quality Sales Lead Definition</t>
  </si>
  <si>
    <r>
      <rPr>
        <b/>
        <sz val="11"/>
        <color theme="1"/>
        <rFont val="Calibri"/>
        <family val="2"/>
        <scheme val="minor"/>
      </rPr>
      <t>Average Handling Time (AHT) Analysis:</t>
    </r>
    <r>
      <rPr>
        <sz val="11"/>
        <color theme="1"/>
        <rFont val="Calibri"/>
        <family val="2"/>
        <scheme val="minor"/>
      </rPr>
      <t xml:space="preserve"> Assess that the AHT for various types of requests and work is identified and factored into workload and manpower forecasting. This will include reviewing records that demonstrate how AHT influences forecasting decisions.</t>
    </r>
  </si>
  <si>
    <t>L22-01</t>
  </si>
  <si>
    <t>Realizar revisión trimestral del SLA CS-Comercial</t>
  </si>
  <si>
    <t>Reunión formal trimestral para revisar progreso del Plan/SLA con Comercial.</t>
  </si>
  <si>
    <t>T02 _ Booking _ Remote Bookings</t>
  </si>
  <si>
    <r>
      <rPr>
        <b/>
        <sz val="11"/>
        <color theme="1"/>
        <rFont val="Calibri"/>
        <family val="2"/>
        <scheme val="minor"/>
      </rPr>
      <t xml:space="preserve">Workload and Manpower Forecasting Verification: </t>
    </r>
    <r>
      <rPr>
        <sz val="11"/>
        <color theme="1"/>
        <rFont val="Calibri"/>
        <family val="2"/>
        <scheme val="minor"/>
      </rPr>
      <t>Confirm that both trace volume and AHT are considered during the workload and manpower forecasting process. Documentation of the forecasting calculations will be reviewed for accuracy.</t>
    </r>
  </si>
  <si>
    <t>M01-01</t>
  </si>
  <si>
    <t>Supervisores lideran una sesión mensual de RCA sobre los principales motivos de contacto para identificar oportunidades de mejora de raíz.</t>
  </si>
  <si>
    <t>T03 _ Booking _ CSV/CSLite and Processes Booking</t>
  </si>
  <si>
    <r>
      <rPr>
        <b/>
        <sz val="11"/>
        <color theme="1"/>
        <rFont val="Calibri"/>
        <family val="2"/>
        <scheme val="minor"/>
      </rPr>
      <t xml:space="preserve">Time and Motion Study Review: </t>
    </r>
    <r>
      <rPr>
        <sz val="11"/>
        <color theme="1"/>
        <rFont val="Calibri"/>
        <family val="2"/>
        <scheme val="minor"/>
      </rPr>
      <t>Ensure that time and motion studies are conducted regularly, at least twice a year, and whenever there are changes in work processes or the implementation of Robotic Process Automation (RPA). Reports from these studies will be examined to verify compliance.</t>
    </r>
  </si>
  <si>
    <t>M02-01</t>
  </si>
  <si>
    <t>M02.1: Implementar enfoque estructurado para revisar y actuar sobre feedback del cliente</t>
  </si>
  <si>
    <t>Gerente y Supervisores revisan mensualmente el feedback de clientes (encuestas, etc.) para identificar tendencias y asignar acciones correctivas.</t>
  </si>
  <si>
    <t>T04 _ Phone Usage _ Aux Correct State</t>
  </si>
  <si>
    <r>
      <rPr>
        <b/>
        <sz val="11"/>
        <color theme="1"/>
        <rFont val="Calibri"/>
        <family val="2"/>
        <scheme val="minor"/>
      </rPr>
      <t>Individual TRC Advisor Performance Monitoring:</t>
    </r>
    <r>
      <rPr>
        <sz val="11"/>
        <color theme="1"/>
        <rFont val="Calibri"/>
        <family val="2"/>
        <scheme val="minor"/>
      </rPr>
      <t xml:space="preserve"> Review the trace volume and total time spent for each individual TRC Advisor to identify performance gaps among team members. Documentation of workload adjustments made in response to these gaps will be assessed.</t>
    </r>
  </si>
  <si>
    <t>M03-01</t>
  </si>
  <si>
    <t>M03.1: Utilizar reportes estándar (PPMT) para medir KPIs y eficiencia</t>
  </si>
  <si>
    <t>CSD asegura que todos los reportes de desempeño se generan y distribuyen desde la herramienta estándar (PPMT). Verificación mensual.</t>
  </si>
  <si>
    <t>T05 _ Track and Trace _ Procedure</t>
  </si>
  <si>
    <r>
      <rPr>
        <b/>
        <sz val="11"/>
        <color theme="1"/>
        <rFont val="Calibri"/>
        <family val="2"/>
        <scheme val="minor"/>
      </rPr>
      <t xml:space="preserve">Shrinkage Calculation Verification: </t>
    </r>
    <r>
      <rPr>
        <sz val="11"/>
        <color theme="1"/>
        <rFont val="Calibri"/>
        <family val="2"/>
        <scheme val="minor"/>
      </rPr>
      <t>Confirm that shrinkage is included in the forecasting model and is representative of the center, accounting for activities such as breaks, meetings, training, coaching sessions, and general unproductive time.</t>
    </r>
  </si>
  <si>
    <t>M04-01</t>
  </si>
  <si>
    <t>M04.1: Asegurar que los datos recolectados sean relevantes, precisos y utilizados</t>
  </si>
  <si>
    <t>CSD realiza una auditoría trimestral de los procesos de recolección de datos para asegurar su integridad y relevancia.</t>
  </si>
  <si>
    <t>T06 _ Track and Trace _ Callbacks Expected Time</t>
  </si>
  <si>
    <r>
      <rPr>
        <b/>
        <sz val="11"/>
        <color theme="1"/>
        <rFont val="Calibri"/>
        <family val="2"/>
        <scheme val="minor"/>
      </rPr>
      <t xml:space="preserve">KAD Activity Monitoring: </t>
    </r>
    <r>
      <rPr>
        <sz val="11"/>
        <color theme="1"/>
        <rFont val="Calibri"/>
        <family val="2"/>
        <scheme val="minor"/>
      </rPr>
      <t>Verify that the volume of Booking, Trace, Reporting, Courtesy Visits, and other KAD activities, along with the respective time spent for each individual KAD Advisor, is collected, and compared regularly (e.g., quarterly) to ensure effective workload management.</t>
    </r>
  </si>
  <si>
    <t>M05-01</t>
  </si>
  <si>
    <t>Supervisores revisan diariamente los KPIs del día anterior con sus equipos y toman acciones inmediatas (ej. ajustar foco, coaching).</t>
  </si>
  <si>
    <t>T07 _ CLAIMS</t>
  </si>
  <si>
    <r>
      <rPr>
        <b/>
        <sz val="11"/>
        <color theme="1"/>
        <rFont val="Calibri"/>
        <family val="2"/>
        <scheme val="minor"/>
      </rPr>
      <t xml:space="preserve">Workload Reallocation Assessment: </t>
    </r>
    <r>
      <rPr>
        <sz val="11"/>
        <color theme="1"/>
        <rFont val="Calibri"/>
        <family val="2"/>
        <scheme val="minor"/>
      </rPr>
      <t>Check that re-allocation of customers/accounts is conducted as necessary to balance workloads among teammates, ensuring that the workforce planning tool is effectively utilized for optimal resource distribution.</t>
    </r>
  </si>
  <si>
    <t>M06-01</t>
  </si>
  <si>
    <t>CSD genera y analiza mensualmente los reportes de tendencias de Calidad para identificar fortalezas y debilidades a nivel departamental.</t>
  </si>
  <si>
    <t>T08 _ COMPLAINTS</t>
  </si>
  <si>
    <t xml:space="preserve"> L10      </t>
  </si>
  <si>
    <r>
      <rPr>
        <b/>
        <sz val="11"/>
        <color theme="1"/>
        <rFont val="Calibri"/>
        <family val="2"/>
        <scheme val="minor"/>
      </rPr>
      <t>Frontline Preparation:</t>
    </r>
    <r>
      <rPr>
        <sz val="11"/>
        <color theme="1"/>
        <rFont val="Calibri"/>
        <family val="2"/>
        <scheme val="minor"/>
      </rPr>
      <t xml:space="preserve">
•Verify that peak intervals have been identified in advance based on call volume patterns.
•Check that the required manpower has been projected using Workforce Management (WFM) or Erlang C tools.
•Conduct a gap analysis to determine how to maximize Frontline manpower and identify the need for extra manpower, specifying the number of helpers required.
•Ensure that backup teams have been notified about manpower gaps and the specific time intervals through communication methods such as email or notices on whiteboards.
•Monitor the login status and call handling focus of backup teams during peak intervals.</t>
    </r>
  </si>
  <si>
    <t>M07-01</t>
  </si>
  <si>
    <t>M07.1: Implementar Programa de Evaluación de Calidad Independiente (Mystery Shopper)</t>
  </si>
  <si>
    <t>Gerente asegura la ejecución trimestral del programa de Mystery Shopper, ya sea con un proveedor externo o un equipo interno independiente.</t>
  </si>
  <si>
    <t>T09 _ Claims &amp; Complaints _ CS Staff Empowerment</t>
  </si>
  <si>
    <r>
      <rPr>
        <b/>
        <sz val="11"/>
        <color theme="1"/>
        <rFont val="Calibri"/>
        <family val="2"/>
        <scheme val="minor"/>
      </rPr>
      <t>Backup Team Preparation:</t>
    </r>
    <r>
      <rPr>
        <sz val="11"/>
        <color theme="1"/>
        <rFont val="Calibri"/>
        <family val="2"/>
        <scheme val="minor"/>
      </rPr>
      <t xml:space="preserve">
•Confirm that backup staff for Frontline call handling has been identified for the specific intervals.
•Verify that the backup arrangement has been communicated to the respective staff at least one day in advance (for example: via email, notices on whiteboards, or verbal reminders, etc.)
•Ensure that backup staff avoid scheduling customer contacts, such as agreed callback times, during specific intervals and focus on call handling instead.</t>
    </r>
  </si>
  <si>
    <t>M08-01</t>
  </si>
  <si>
    <t>M08.1: Evaluar y analizar mensualmente resultados de IMSP</t>
  </si>
  <si>
    <t>CSD o responsable designado analiza los resultados mensuales del programa de auto-monitoreo del personal (IMSP) si está implementado.</t>
  </si>
  <si>
    <t>T10 _ Claims &amp; Complaints _ Standard Letter in GEMA</t>
  </si>
  <si>
    <t xml:space="preserve"> L11      </t>
  </si>
  <si>
    <r>
      <rPr>
        <b/>
        <sz val="11"/>
        <color theme="1"/>
        <rFont val="Calibri"/>
        <family val="2"/>
        <scheme val="minor"/>
      </rPr>
      <t xml:space="preserve">Planning of Paid Leave: </t>
    </r>
    <r>
      <rPr>
        <sz val="11"/>
        <color theme="1"/>
        <rFont val="Calibri"/>
        <family val="2"/>
        <scheme val="minor"/>
      </rPr>
      <t>Verify that paid leave is planned for all teams. Each team should calculate the leave quota (threshold) for every working day, taking into account forecasted call volumes, and pre-plan all paid leaves throughout the year.</t>
    </r>
  </si>
  <si>
    <t>M09-01</t>
  </si>
  <si>
    <t>M09.1: Desplegar Wallboards o Tableros de Desempeño accesibles</t>
  </si>
  <si>
    <t>CSD verifica semanalmente que los tableros de desempeño (Wallboards), ya sean físicos o virtuales, estén funcionando, actualizados y visibles para todos.</t>
  </si>
  <si>
    <t>T11 _ Claims &amp; Complaints _ GEMA-SPARK Approval Process Compensations Payments</t>
  </si>
  <si>
    <r>
      <rPr>
        <b/>
        <sz val="11"/>
        <color theme="1"/>
        <rFont val="Calibri"/>
        <family val="2"/>
        <scheme val="minor"/>
      </rPr>
      <t xml:space="preserve">Review of Unplanned Annual Leave: </t>
    </r>
    <r>
      <rPr>
        <sz val="11"/>
        <color theme="1"/>
        <rFont val="Calibri"/>
        <family val="2"/>
        <scheme val="minor"/>
      </rPr>
      <t>Check that any annual leave that has not yet been planned is reviewed on a regular basis to ensure it can be scheduled appropriately.</t>
    </r>
  </si>
  <si>
    <t>P01-01</t>
  </si>
  <si>
    <t>Documentar y comunicar programa SMART de incentivos y reconocimiento</t>
  </si>
  <si>
    <t>Revisar y comunicar el programa de reconocimiento, asegurando que los criterios son SMART y conocidos por todos.</t>
  </si>
  <si>
    <t>T12 _ Proactive Track and Trace _ CS KAD KART</t>
  </si>
  <si>
    <r>
      <rPr>
        <b/>
        <sz val="11"/>
        <color theme="1"/>
        <rFont val="Calibri"/>
        <family val="2"/>
        <scheme val="minor"/>
      </rPr>
      <t xml:space="preserve">Tracking of Unpaid and Unplanned Leave: </t>
    </r>
    <r>
      <rPr>
        <sz val="11"/>
        <color theme="1"/>
        <rFont val="Calibri"/>
        <family val="2"/>
        <scheme val="minor"/>
      </rPr>
      <t>Confirm that unpaid and unplanned leave for each staff member is tracked, with evidence of remedial discussions available to address any issues related to unplanned absences.</t>
    </r>
  </si>
  <si>
    <t>P02-01</t>
  </si>
  <si>
    <t>Implementar sistema de reconocimiento (no financiero) para top performers</t>
  </si>
  <si>
    <t>Ejecutar el programa de reconocimiento no financiero (ej. menciones, agradecimientos públicos) para los mejores desempeños del mes.</t>
  </si>
  <si>
    <t>T13 _ Global Virtual Assistant (GVA)</t>
  </si>
  <si>
    <r>
      <rPr>
        <b/>
        <sz val="11"/>
        <color theme="1"/>
        <rFont val="Calibri"/>
        <family val="2"/>
        <scheme val="minor"/>
      </rPr>
      <t xml:space="preserve">Utilization Status of Paid Leave: </t>
    </r>
    <r>
      <rPr>
        <sz val="11"/>
        <color theme="1"/>
        <rFont val="Calibri"/>
        <family val="2"/>
        <scheme val="minor"/>
      </rPr>
      <t>Ensure that the utilization status of paid leave is monitored to minimize carry-forward leave, in accordance with local legislation where applicable.</t>
    </r>
  </si>
  <si>
    <t>P03-01</t>
  </si>
  <si>
    <t>Asegurar curso de inducción completo para nuevos ingresos</t>
  </si>
  <si>
    <t>CSD y Supervisores aseguran que cada nuevo empleado complete el 100% del plan de onboarding antes de su "Go Live". La tarea es la verificación mensual.</t>
  </si>
  <si>
    <t>T14 _ Technology _ Telephony SetUp Elements</t>
  </si>
  <si>
    <t xml:space="preserve"> L12      </t>
  </si>
  <si>
    <r>
      <rPr>
        <b/>
        <sz val="11"/>
        <color theme="1"/>
        <rFont val="Calibri"/>
        <family val="2"/>
        <scheme val="minor"/>
      </rPr>
      <t>Buddy System Implementation:</t>
    </r>
    <r>
      <rPr>
        <sz val="11"/>
        <color theme="1"/>
        <rFont val="Calibri"/>
        <family val="2"/>
        <scheme val="minor"/>
      </rPr>
      <t xml:space="preserve">
•Verify that all Backline (BL) staff, including those in Claims &amp; Complaints and Key Accounts (KA), have a minimum of one accountable buddy. This buddy can be any member of the Customer Service team, including Supervisors or Team Leaders.
•Check that a list of all buddies is accessible to all staff and that all staff members are fully aware of the buddy program and are working accordingly</t>
    </r>
  </si>
  <si>
    <t>P04-01</t>
  </si>
  <si>
    <t>CSD y Gerencia revisan y actualizan anualmente el plan o roadmap de capacitación de refuerzo para todo el personal.</t>
  </si>
  <si>
    <t>T15 _ Technology _ IVR</t>
  </si>
  <si>
    <r>
      <rPr>
        <b/>
        <sz val="11"/>
        <color theme="1"/>
        <rFont val="Calibri"/>
        <family val="2"/>
        <scheme val="minor"/>
      </rPr>
      <t>Work Queue Management:</t>
    </r>
    <r>
      <rPr>
        <sz val="11"/>
        <color theme="1"/>
        <rFont val="Calibri"/>
        <family val="2"/>
        <scheme val="minor"/>
      </rPr>
      <t xml:space="preserve">
•Confirm that the GEMA/SPARK work queue of absent staff is managed either by the buddy through the GEMA/SPARK buddy login or by the Supervisor/Team Leader, who will assign the work to the buddy(ies).
•Ensure that the Supervisor/Team Leader closely monitors the workload to ensure it is manageable and that no service disruption occurs.</t>
    </r>
  </si>
  <si>
    <t>P05-01</t>
  </si>
  <si>
    <t>Realizar ejercicios de verificación de habilidades y conocimiento</t>
  </si>
  <si>
    <t>Supervisores realizan ejercicios prácticos o teóricos mensuales para validar que el conocimiento se mantiene fresco.</t>
  </si>
  <si>
    <t>T16 _ Technology _ Auto Attendant (AA) SetUp</t>
  </si>
  <si>
    <r>
      <rPr>
        <b/>
        <sz val="11"/>
        <color theme="1"/>
        <rFont val="Calibri"/>
        <family val="2"/>
        <scheme val="minor"/>
      </rPr>
      <t>Activation of Plans:</t>
    </r>
    <r>
      <rPr>
        <sz val="11"/>
        <color theme="1"/>
        <rFont val="Calibri"/>
        <family val="2"/>
        <scheme val="minor"/>
      </rPr>
      <t xml:space="preserve"> Verify that if ad-hoc absenteeism in the Frontline (FL) is higher than the planned shrinkage rate, FL staff on annual leave or temporary staff are contacted, and the contingency plan is activated.</t>
    </r>
  </si>
  <si>
    <t>P06-01</t>
  </si>
  <si>
    <t>Evaluar a nuevo personal en calidad antes del "Go Live"</t>
  </si>
  <si>
    <t>Supervisor realiza una evaluación de calidad final (ej. escucha de llamadas piloto) a los nuevos empleados antes de que pasen a producción ("Go Live").</t>
  </si>
  <si>
    <r>
      <rPr>
        <b/>
        <sz val="11"/>
        <color theme="1"/>
        <rFont val="Calibri"/>
        <family val="2"/>
        <scheme val="minor"/>
      </rPr>
      <t xml:space="preserve">Awareness and Execution of Plans: </t>
    </r>
    <r>
      <rPr>
        <sz val="11"/>
        <color theme="1"/>
        <rFont val="Calibri"/>
        <family val="2"/>
        <scheme val="minor"/>
      </rPr>
      <t>Ensure that a plan is in place to prevent service disruption and that staff members are aware of its execution.</t>
    </r>
  </si>
  <si>
    <t>P07-01</t>
  </si>
  <si>
    <t>Establecer programa de coaching formalizado para CS</t>
  </si>
  <si>
    <t>Revisión trimestral por parte de la Gerencia para asegurar que la estructura de coaching (frecuencia, formato) se está cumpliendo.</t>
  </si>
  <si>
    <t xml:space="preserve"> L13      </t>
  </si>
  <si>
    <r>
      <rPr>
        <b/>
        <sz val="11"/>
        <color theme="1"/>
        <rFont val="Calibri"/>
        <family val="2"/>
        <scheme val="minor"/>
      </rPr>
      <t>Accessibility and Activation of Contingency Plans:</t>
    </r>
    <r>
      <rPr>
        <sz val="11"/>
        <color theme="1"/>
        <rFont val="Calibri"/>
        <family val="2"/>
        <scheme val="minor"/>
      </rPr>
      <t xml:space="preserve">
•Verify that all Managers, Supervisors, and Team Leaders can easily access the Contingency Plan through platforms such as whiteboards, Smart Connect, SharePoint, and MS Teams.
•Confirm that these individuals are empowered to activate the plan as needed.</t>
    </r>
  </si>
  <si>
    <t>P08-01</t>
  </si>
  <si>
    <t>Asegurar relevancia y consistencia del coaching (T-GROW)</t>
  </si>
  <si>
    <t>Supervisores se aseguran de usar el modelo T-GROW en todas sus sesiones de coaching. La tarea es la preparación y ejecución correcta.</t>
  </si>
  <si>
    <r>
      <rPr>
        <b/>
        <sz val="11"/>
        <color theme="1"/>
        <rFont val="Calibri"/>
        <family val="2"/>
        <scheme val="minor"/>
      </rPr>
      <t>Documentation of Possible Events and Actions:</t>
    </r>
    <r>
      <rPr>
        <sz val="11"/>
        <color theme="1"/>
        <rFont val="Calibri"/>
        <family val="2"/>
        <scheme val="minor"/>
      </rPr>
      <t xml:space="preserve">
•Ensure that all possible events and actions that could impact service (e.g., high absenteeism, unexpected volume, system outages, disasters) are thoroughly documented in the contingency plans.
•Verify that the listed actions are robust enough to recover any underperforming KPIs across all sections, including Frontline (FL), Backline (BL), Claims &amp; Complaints (C&amp;C), and Key Account Desk KAD).</t>
    </r>
  </si>
  <si>
    <t>P09-01</t>
  </si>
  <si>
    <t>Realizar sesiones de calibración trimestrales entre todos los roles que evalúan calidad para asegurar consistencia.</t>
  </si>
  <si>
    <r>
      <rPr>
        <b/>
        <sz val="11"/>
        <color theme="1"/>
        <rFont val="Calibri"/>
        <family val="2"/>
        <scheme val="minor"/>
      </rPr>
      <t>Alternatives to assist Contingencies:</t>
    </r>
    <r>
      <rPr>
        <sz val="11"/>
        <color theme="1"/>
        <rFont val="Calibri"/>
        <family val="2"/>
        <scheme val="minor"/>
      </rPr>
      <t xml:space="preserve">
•Check that alternative actions are in place, such as using manual booking forms when both CSV and CS Lite are down, and manual logs when GEMA/SPARK is down</t>
    </r>
  </si>
  <si>
    <t>P10-01</t>
  </si>
  <si>
    <t>Realizar monitoreos de calidad regulares según cuota mensual</t>
  </si>
  <si>
    <t>Supervisores realizan y registran el número de monitoreos de calidad requeridos para cada uno de sus agentes cada mes.</t>
  </si>
  <si>
    <t xml:space="preserve"> L14      </t>
  </si>
  <si>
    <r>
      <rPr>
        <b/>
        <sz val="11"/>
        <color theme="1"/>
        <rFont val="Calibri"/>
        <family val="2"/>
        <scheme val="minor"/>
      </rPr>
      <t>Implementation of Recommended Steps:</t>
    </r>
    <r>
      <rPr>
        <sz val="11"/>
        <color theme="1"/>
        <rFont val="Calibri"/>
        <family val="2"/>
        <scheme val="minor"/>
      </rPr>
      <t xml:space="preserve">
•Monitor and ensure that all recommended steps for activating and deactivating Key Account Customers have been implemented as outlined in the Global SOP Standard Key Account Desk Standards.</t>
    </r>
  </si>
  <si>
    <t>P11-01</t>
  </si>
  <si>
    <t>Implementar actividades de team building, motivacionales e inspiracionales</t>
  </si>
  <si>
    <t>Gerente y supervisores planifican y ejecutan al menos una actividad de team building o motivacional por trimestre.</t>
  </si>
  <si>
    <r>
      <rPr>
        <b/>
        <sz val="11"/>
        <color theme="1"/>
        <rFont val="Calibri"/>
        <family val="2"/>
        <scheme val="minor"/>
      </rPr>
      <t>Verification of Required Documents:</t>
    </r>
    <r>
      <rPr>
        <sz val="11"/>
        <color theme="1"/>
        <rFont val="Calibri"/>
        <family val="2"/>
        <scheme val="minor"/>
      </rPr>
      <t xml:space="preserve">
•Confirm the availability and correct usage of the latest deactivation list.
•Verify that the KAD Customer Nomination/De-activation Form is being used appropriately.
•Ensure the KAD FTE Cost Calculator is utilized for accurate resource allocation.
•Check that the KAD Welcome Kit is provided to new Key Account Customers.</t>
    </r>
  </si>
  <si>
    <t>P12-01</t>
  </si>
  <si>
    <t>Tras recibir los resultados de la encuesta de clima (EOS), Gerencia y Supervisores definen y hacen seguimiento mensual a los planes de acción.</t>
  </si>
  <si>
    <t xml:space="preserve"> L15      </t>
  </si>
  <si>
    <r>
      <rPr>
        <b/>
        <sz val="11"/>
        <color theme="1"/>
        <rFont val="Calibri"/>
        <family val="2"/>
        <scheme val="minor"/>
      </rPr>
      <t xml:space="preserve">Documentation of Customer Requirements: </t>
    </r>
    <r>
      <rPr>
        <sz val="11"/>
        <color theme="1"/>
        <rFont val="Calibri"/>
        <family val="2"/>
        <scheme val="minor"/>
      </rPr>
      <t>Verify that all KAD customer requirements and expectations, such as shipment monitoring criteria, report requirements and formats, and contact details, are documented and reflect the latest information.</t>
    </r>
  </si>
  <si>
    <t>T01-01</t>
  </si>
  <si>
    <t>T01.1: Definir y comunicar proceso de "Quality Sales Lead" con Comercial</t>
  </si>
  <si>
    <t>Gerente define y documenta el proceso para pasar leads de calidad a Comercial. Se revisa y comunica semestralmente.</t>
  </si>
  <si>
    <r>
      <rPr>
        <b/>
        <sz val="11"/>
        <color theme="1"/>
        <rFont val="Calibri"/>
        <family val="2"/>
        <scheme val="minor"/>
      </rPr>
      <t xml:space="preserve">Accessibility of Customer Information: </t>
    </r>
    <r>
      <rPr>
        <sz val="11"/>
        <color theme="1"/>
        <rFont val="Calibri"/>
        <family val="2"/>
        <scheme val="minor"/>
      </rPr>
      <t>Confirm that all KAD staff have access to the documented customer requirements through platforms such as Smart Connect, SharePoint, or shared folders.</t>
    </r>
  </si>
  <si>
    <t>Supervisor BL realiza una auditoría mensual para verificar que el proceso de Reservas Remotas sigue el SOP Global.</t>
  </si>
  <si>
    <r>
      <rPr>
        <b/>
        <sz val="11"/>
        <color theme="1"/>
        <rFont val="Calibri"/>
        <family val="2"/>
        <scheme val="minor"/>
      </rPr>
      <t xml:space="preserve">Harmonization of KAD Services: </t>
    </r>
    <r>
      <rPr>
        <sz val="11"/>
        <color theme="1"/>
        <rFont val="Calibri"/>
        <family val="2"/>
        <scheme val="minor"/>
      </rPr>
      <t>Ensure that all KAD Customer Services are harmonized and aligned with the Standard KAD Services as outlined in Section 3.4 of the Global SOP Standard Key Account Desk Standards.</t>
    </r>
  </si>
  <si>
    <t>T03-01</t>
  </si>
  <si>
    <t>Supervisores FL realizan una auditoría mensual para verificar que los agentes siguen correctamente el proceso estándar de toma de reservas en el sistema.</t>
  </si>
  <si>
    <t xml:space="preserve"> L16      </t>
  </si>
  <si>
    <r>
      <rPr>
        <b/>
        <sz val="11"/>
        <color theme="1"/>
        <rFont val="Calibri"/>
        <family val="2"/>
        <scheme val="minor"/>
      </rPr>
      <t>Regular Reviews by CS Section Managers:</t>
    </r>
    <r>
      <rPr>
        <sz val="11"/>
        <color theme="1"/>
        <rFont val="Calibri"/>
        <family val="2"/>
        <scheme val="minor"/>
      </rPr>
      <t xml:space="preserve"> Verify that all Customer Service Section Managers conduct reviews to identify and initiate efficiency opportunities at least every six months.</t>
    </r>
  </si>
  <si>
    <t>T04-01</t>
  </si>
  <si>
    <t>T04.1: Asegurar correcta selección de estados de actividad en sistema telefónico</t>
  </si>
  <si>
    <t>Supervisores realizan un chequeo semanal de la adherencia a los estados de actividad correctos (Aux, Ready, etc.).</t>
  </si>
  <si>
    <r>
      <rPr>
        <b/>
        <sz val="11"/>
        <color theme="1"/>
        <rFont val="Calibri"/>
        <family val="2"/>
        <scheme val="minor"/>
      </rPr>
      <t xml:space="preserve">Identification of Improvement Opportunities: </t>
    </r>
    <r>
      <rPr>
        <sz val="11"/>
        <color theme="1"/>
        <rFont val="Calibri"/>
        <family val="2"/>
        <scheme val="minor"/>
      </rPr>
      <t>Confirm that opportunities for improvement are identified and addressed. These opportunities may include undeliverable calls, tracking calls, repeated calls, customs clearance calls, non-revenue generated calls, First Time Resolution Rate, individual workload, staff productivity, staff efficiency, absenteeism, overtime, digitalization, and RPA deployment.</t>
    </r>
  </si>
  <si>
    <t>T05-01</t>
  </si>
  <si>
    <t>Supervisor FL/BL realiza una revisión mensual para asegurar el uso preciso del sistema en los casos de seguimiento (traces).</t>
  </si>
  <si>
    <r>
      <rPr>
        <b/>
        <sz val="11"/>
        <color theme="1"/>
        <rFont val="Calibri"/>
        <family val="2"/>
        <scheme val="minor"/>
      </rPr>
      <t>Availability and Review of Data, Analysis, and Results:</t>
    </r>
    <r>
      <rPr>
        <sz val="11"/>
        <color theme="1"/>
        <rFont val="Calibri"/>
        <family val="2"/>
        <scheme val="minor"/>
      </rPr>
      <t xml:space="preserve"> Ensure that data, analysis, and results related to the identified efficiency opportunities are available and reviewed regularly.</t>
    </r>
  </si>
  <si>
    <t>T06-01</t>
  </si>
  <si>
    <t>T06.1: Ingresar tiempo esperado de contacto en sistema para seguimiento de Backline</t>
  </si>
  <si>
    <t>Supervisor BL verifica mensualmente que los agentes de BL ingresan correctamente el tiempo esperado de contacto en el sistema.</t>
  </si>
  <si>
    <t xml:space="preserve"> L17      </t>
  </si>
  <si>
    <r>
      <rPr>
        <b/>
        <sz val="11"/>
        <color theme="1"/>
        <rFont val="Calibri"/>
        <family val="2"/>
        <scheme val="minor"/>
      </rPr>
      <t xml:space="preserve">FTE Reviews: </t>
    </r>
    <r>
      <rPr>
        <sz val="11"/>
        <color theme="1"/>
        <rFont val="Calibri"/>
        <family val="2"/>
        <scheme val="minor"/>
      </rPr>
      <t>Evidence is available that regular FTE reviews with HR, CS Development, and Finance to identify areas of concern and review target discrepancies.</t>
    </r>
  </si>
  <si>
    <t>T07-01</t>
  </si>
  <si>
    <t>Supervisor BL verifica mensualmente el uso preciso del sistema para los casos de Reclamaciones (Claims).</t>
  </si>
  <si>
    <r>
      <rPr>
        <b/>
        <sz val="11"/>
        <color theme="1"/>
        <rFont val="Calibri"/>
        <family val="2"/>
        <scheme val="minor"/>
      </rPr>
      <t xml:space="preserve">Headcount Verification: </t>
    </r>
    <r>
      <rPr>
        <sz val="11"/>
        <color theme="1"/>
        <rFont val="Calibri"/>
        <family val="2"/>
        <scheme val="minor"/>
      </rPr>
      <t>The headcount will be cross-referenced through a comparison of the Capacity Plan with the HR Report, CREST Report, and/or local HR system to ensure accuracy.</t>
    </r>
  </si>
  <si>
    <t>T08-01</t>
  </si>
  <si>
    <t>Supervisor BL verifica mensualmente el uso preciso del sistema para Quejas (Complaints) y la aplicación de la Guía de Recuperación de Servicio.</t>
  </si>
  <si>
    <r>
      <rPr>
        <b/>
        <sz val="11"/>
        <color theme="1"/>
        <rFont val="Calibri"/>
        <family val="2"/>
        <scheme val="minor"/>
      </rPr>
      <t xml:space="preserve">Discrepancy Management: </t>
    </r>
    <r>
      <rPr>
        <sz val="11"/>
        <color theme="1"/>
        <rFont val="Calibri"/>
        <family val="2"/>
        <scheme val="minor"/>
      </rPr>
      <t>Capture any discrepancies noted during the comparison process in a log and follow up with HR and Finance to resolve the issues.</t>
    </r>
  </si>
  <si>
    <t>T09-01</t>
  </si>
  <si>
    <t>T09.1: Documentar y comunicar niveles de empoderamiento para resolución</t>
  </si>
  <si>
    <t>Gerente revisa y comunica anualmente los niveles de empoderamiento (ej. montos de compensación) que tiene el personal para resolver casos.</t>
  </si>
  <si>
    <t xml:space="preserve"> L18      </t>
  </si>
  <si>
    <r>
      <rPr>
        <b/>
        <sz val="11"/>
        <color theme="1"/>
        <rFont val="Calibri"/>
        <family val="2"/>
        <scheme val="minor"/>
      </rPr>
      <t xml:space="preserve">Review of Monthly Targets: </t>
    </r>
    <r>
      <rPr>
        <sz val="11"/>
        <color theme="1"/>
        <rFont val="Calibri"/>
        <family val="2"/>
        <scheme val="minor"/>
      </rPr>
      <t>Confirm that monthly targets for Sales Leads, TDX, Shipment Insurance, and Extended Liability are established for the department, team, and individual staff members.</t>
    </r>
  </si>
  <si>
    <t>T10-01</t>
  </si>
  <si>
    <t>T10.1: Asegurar carga de plantillas/cartas estándar en sistema de gestión de casos</t>
  </si>
  <si>
    <t>CSD verifica semestralmente que todas las plantillas de comunicación estándar están cargadas y actualizadas en el sistema.</t>
  </si>
  <si>
    <r>
      <rPr>
        <b/>
        <sz val="11"/>
        <color theme="1"/>
        <rFont val="Calibri"/>
        <family val="2"/>
        <scheme val="minor"/>
      </rPr>
      <t>Staff Briefings and Performance Awareness:</t>
    </r>
    <r>
      <rPr>
        <sz val="11"/>
        <color theme="1"/>
        <rFont val="Calibri"/>
        <family val="2"/>
        <scheme val="minor"/>
      </rPr>
      <t xml:space="preserve"> Verify that staff are well-briefed on these targets and their own selling performance. Check that selling performances are displayed on notice boards, PD, SharePoint, or similar platforms to raise staff awareness.</t>
    </r>
  </si>
  <si>
    <t>T11-01</t>
  </si>
  <si>
    <t>T11.1: Asegurar uso de proceso de aprobación GEMA/SPARK para pagos de compensación</t>
  </si>
  <si>
    <t>Gerente realiza una auditoría trimestral para asegurar que todos los pagos de compensación han seguido el proceso de aprobación establecido.</t>
  </si>
  <si>
    <r>
      <rPr>
        <b/>
        <sz val="11"/>
        <color theme="1"/>
        <rFont val="Calibri"/>
        <family val="2"/>
        <scheme val="minor"/>
      </rPr>
      <t>Tracking and Communication of Results:</t>
    </r>
    <r>
      <rPr>
        <sz val="11"/>
        <color theme="1"/>
        <rFont val="Calibri"/>
        <family val="2"/>
        <scheme val="minor"/>
      </rPr>
      <t xml:space="preserve">
•Ensure that results are tracked and communicated daily to all impacted staff. Additionally, verify that these results are reviewed monthly in team meetings.
•Confirm that staff can show their monthly performance, for example, in PPMT or local reports.</t>
    </r>
  </si>
  <si>
    <t>T12-01</t>
  </si>
  <si>
    <t>T12.1: Asegurar utilización de Herramienta de Reporteo de Cuentas Clave (KART)</t>
  </si>
  <si>
    <t>Supervisor BL/KAD asegura que el equipo KAD utiliza la herramienta KART para todos los reportes requeridos. Verificación mensual.</t>
  </si>
  <si>
    <t xml:space="preserve"> L19      </t>
  </si>
  <si>
    <r>
      <rPr>
        <b/>
        <sz val="11"/>
        <color theme="1"/>
        <rFont val="Calibri"/>
        <family val="2"/>
        <scheme val="minor"/>
      </rPr>
      <t xml:space="preserve">Presence of Revenue Generation Campaigns: </t>
    </r>
    <r>
      <rPr>
        <sz val="11"/>
        <color theme="1"/>
        <rFont val="Calibri"/>
        <family val="2"/>
        <scheme val="minor"/>
      </rPr>
      <t>Confirm that local, regional, and/or global revenue generation campaigns are in place, such as the Express 9/Express 12 Campaign, Shipment Insurance Campaign, CSV Price Quote Campaign, Upselling Campaign, Premium Force, sales leads, and Just Sell campaign. If regional and/or global campaigns were not launched, ensure that local campaigns are presented.</t>
    </r>
  </si>
  <si>
    <t>T13-01</t>
  </si>
  <si>
    <t>CSD y Gerente revisan trimestralmente la configuración y el rendimiento del GVA para maximizar su uso y efectividad.</t>
  </si>
  <si>
    <r>
      <rPr>
        <b/>
        <sz val="11"/>
        <color theme="1"/>
        <rFont val="Calibri"/>
        <family val="2"/>
        <scheme val="minor"/>
      </rPr>
      <t xml:space="preserve">Communication of Weekly Reports: </t>
    </r>
    <r>
      <rPr>
        <sz val="11"/>
        <color theme="1"/>
        <rFont val="Calibri"/>
        <family val="2"/>
        <scheme val="minor"/>
      </rPr>
      <t>Verify that weekly reports on individual staff, team, and department performance levels are communicated to all staff members.</t>
    </r>
  </si>
  <si>
    <t>T14-01</t>
  </si>
  <si>
    <t>T14.1: Asegurar disponibilidad y actualización de documentación de enrutamiento de llamadas</t>
  </si>
  <si>
    <t>CSD revisa semestralmente que la documentación que describe cómo se enrutan las llamadas (call routing) está actualizada y accesible.</t>
  </si>
  <si>
    <r>
      <rPr>
        <b/>
        <sz val="11"/>
        <color theme="1"/>
        <rFont val="Calibri"/>
        <family val="2"/>
        <scheme val="minor"/>
      </rPr>
      <t>Performance Check by Staff:</t>
    </r>
    <r>
      <rPr>
        <sz val="11"/>
        <color theme="1"/>
        <rFont val="Calibri"/>
        <family val="2"/>
        <scheme val="minor"/>
      </rPr>
      <t xml:space="preserve"> Ensure that staff can check their performance, for example, in PPMT.</t>
    </r>
  </si>
  <si>
    <t>T15-01</t>
  </si>
  <si>
    <t>T15.1: Configurar IVR con máximo 3 capas y 5 opciones, y opción a agente en vivo</t>
  </si>
  <si>
    <t>CSD realiza una auditoría anual del IVR para asegurar que cumple con los estándares globales de estructura (capas, opciones, salida a agente).</t>
  </si>
  <si>
    <t xml:space="preserve"> L20      </t>
  </si>
  <si>
    <r>
      <rPr>
        <b/>
        <sz val="11"/>
        <color theme="1"/>
        <rFont val="Calibri"/>
        <family val="2"/>
        <scheme val="minor"/>
      </rPr>
      <t xml:space="preserve">Registration of Quotations: </t>
    </r>
    <r>
      <rPr>
        <sz val="11"/>
        <color theme="1"/>
        <rFont val="Calibri"/>
        <family val="2"/>
        <scheme val="minor"/>
      </rPr>
      <t>Verify that Frontline (FL) Advisors register quotations with all relevant details in the CSV system and provide the CSV Quote reference number to the customer.</t>
    </r>
  </si>
  <si>
    <t>T16-01</t>
  </si>
  <si>
    <t>T16.1: Configurar Asistente Automático (AA) para optimizar enrutamiento y acceso a agente</t>
  </si>
  <si>
    <t>CSD revisa anualmente la configuración del Asistente Automático para asegurar que optimiza la transferencia de llamadas.</t>
  </si>
  <si>
    <r>
      <rPr>
        <b/>
        <sz val="11"/>
        <color theme="1"/>
        <rFont val="Calibri"/>
        <family val="2"/>
        <scheme val="minor"/>
      </rPr>
      <t>Discount Policy Adherence:</t>
    </r>
    <r>
      <rPr>
        <sz val="11"/>
        <color theme="1"/>
        <rFont val="Calibri"/>
        <family val="2"/>
        <scheme val="minor"/>
      </rPr>
      <t xml:space="preserve"> Ensure that when Customer Service has already offered the maximum discount in the first contact (as per the discount policy), the daily data of such quotes is shared with the Commercial team for their action.</t>
    </r>
  </si>
  <si>
    <r>
      <rPr>
        <b/>
        <sz val="11"/>
        <color theme="1"/>
        <rFont val="Calibri"/>
        <family val="2"/>
        <scheme val="minor"/>
      </rPr>
      <t xml:space="preserve">Follow-Up Contact: </t>
    </r>
    <r>
      <rPr>
        <sz val="11"/>
        <color theme="1"/>
        <rFont val="Calibri"/>
        <family val="2"/>
        <scheme val="minor"/>
      </rPr>
      <t>Confirm that an Advisor (e.g., FL, TeleSales, Sales) contacts the customer the same day to attempt converting the quotation into a booking.</t>
    </r>
  </si>
  <si>
    <r>
      <rPr>
        <b/>
        <sz val="11"/>
        <color theme="1"/>
        <rFont val="Calibri"/>
        <family val="2"/>
        <scheme val="minor"/>
      </rPr>
      <t xml:space="preserve">Process for Cash and Account Customers: </t>
    </r>
    <r>
      <rPr>
        <sz val="11"/>
        <color theme="1"/>
        <rFont val="Calibri"/>
        <family val="2"/>
        <scheme val="minor"/>
      </rPr>
      <t>Verify that the process is in place and agreed upon with the Commercial team for both cash and account customers.</t>
    </r>
  </si>
  <si>
    <r>
      <rPr>
        <b/>
        <sz val="11"/>
        <color theme="1"/>
        <rFont val="Calibri"/>
        <family val="2"/>
        <scheme val="minor"/>
      </rPr>
      <t>Staff Understanding and Consistency:</t>
    </r>
    <r>
      <rPr>
        <sz val="11"/>
        <color theme="1"/>
        <rFont val="Calibri"/>
        <family val="2"/>
        <scheme val="minor"/>
      </rPr>
      <t xml:space="preserve"> Ensure that Advisors can explain the process clearly, that the process is well-documented and accessible to all staff, and that Advisors consistently carry out the process.</t>
    </r>
  </si>
  <si>
    <t xml:space="preserve"> L21      </t>
  </si>
  <si>
    <r>
      <rPr>
        <b/>
        <sz val="11"/>
        <color theme="1"/>
        <rFont val="Calibri"/>
        <family val="2"/>
        <scheme val="minor"/>
      </rPr>
      <t xml:space="preserve">Staff Knowledge Assessment: </t>
    </r>
    <r>
      <rPr>
        <sz val="11"/>
        <color theme="1"/>
        <rFont val="Calibri"/>
        <family val="2"/>
        <scheme val="minor"/>
      </rPr>
      <t>Conduct interviews or surveys with staff members to ensure they are aware of all applicable products and services listed in the OSS Catalogue, such as Shipment Insurance, TDI, PDN, and Extended Liability.</t>
    </r>
  </si>
  <si>
    <r>
      <rPr>
        <b/>
        <sz val="11"/>
        <color theme="1"/>
        <rFont val="Calibri"/>
        <family val="2"/>
        <scheme val="minor"/>
      </rPr>
      <t xml:space="preserve">Observation of Interactions: </t>
    </r>
    <r>
      <rPr>
        <sz val="11"/>
        <color theme="1"/>
        <rFont val="Calibri"/>
        <family val="2"/>
        <scheme val="minor"/>
      </rPr>
      <t>Observe customer interactions to confirm that staff actively offer these products and services during booking interactions. This can be done through call monitoring, mystery shopping, or reviewing recorded calls.</t>
    </r>
  </si>
  <si>
    <r>
      <rPr>
        <b/>
        <sz val="11"/>
        <color theme="1"/>
        <rFont val="Calibri"/>
        <family val="2"/>
        <scheme val="minor"/>
      </rPr>
      <t>Review of System Usage:</t>
    </r>
    <r>
      <rPr>
        <sz val="11"/>
        <color theme="1"/>
        <rFont val="Calibri"/>
        <family val="2"/>
        <scheme val="minor"/>
      </rPr>
      <t xml:space="preserve"> Verify that the products and services are displayed in the CSV system via the DCT interface and that staff are using this interface to offer the applicable options to customers.</t>
    </r>
  </si>
  <si>
    <t xml:space="preserve"> L22      </t>
  </si>
  <si>
    <r>
      <rPr>
        <b/>
        <sz val="11"/>
        <color theme="1"/>
        <rFont val="Calibri"/>
        <family val="2"/>
        <scheme val="minor"/>
      </rPr>
      <t xml:space="preserve">Availability and Documentation: </t>
    </r>
    <r>
      <rPr>
        <sz val="11"/>
        <color theme="1"/>
        <rFont val="Calibri"/>
        <family val="2"/>
        <scheme val="minor"/>
      </rPr>
      <t xml:space="preserve">Verify that an annual revenue generation plan is available, documented, and agreed upon by the responsible parties in both Customer Service and Commercial teams.
</t>
    </r>
  </si>
  <si>
    <r>
      <rPr>
        <b/>
        <sz val="11"/>
        <color theme="1"/>
        <rFont val="Calibri"/>
        <family val="2"/>
        <scheme val="minor"/>
      </rPr>
      <t xml:space="preserve">Defined Objectives and Structure: </t>
    </r>
    <r>
      <rPr>
        <sz val="11"/>
        <color theme="1"/>
        <rFont val="Calibri"/>
        <family val="2"/>
        <scheme val="minor"/>
      </rPr>
      <t>Confirm that the plan includes clearly defined objectives and goals with timelines, identifies responsible parties, and outlines a schedule for regular reviews.</t>
    </r>
  </si>
  <si>
    <r>
      <rPr>
        <b/>
        <sz val="11"/>
        <color theme="1"/>
        <rFont val="Calibri"/>
        <family val="2"/>
        <scheme val="minor"/>
      </rPr>
      <t xml:space="preserve">Documentation of Regular Reviews: </t>
    </r>
    <r>
      <rPr>
        <sz val="11"/>
        <color theme="1"/>
        <rFont val="Calibri"/>
        <family val="2"/>
        <scheme val="minor"/>
      </rPr>
      <t>Ensure that regular reviews conducted within the period of the plan are documented, providing a record of progress and any adjustments made.</t>
    </r>
  </si>
  <si>
    <r>
      <rPr>
        <b/>
        <sz val="11"/>
        <color theme="1"/>
        <rFont val="Calibri"/>
        <family val="2"/>
        <scheme val="minor"/>
      </rPr>
      <t xml:space="preserve">Comprehensive End-of-Period Review: </t>
    </r>
    <r>
      <rPr>
        <sz val="11"/>
        <color theme="1"/>
        <rFont val="Calibri"/>
        <family val="2"/>
        <scheme val="minor"/>
      </rPr>
      <t>Check that a comprehensive review is conducted at the end of the plan's period to evaluate its success and identify any lessons learned. This review should also be documented.</t>
    </r>
  </si>
  <si>
    <t xml:space="preserve"> P01      </t>
  </si>
  <si>
    <r>
      <rPr>
        <b/>
        <sz val="11"/>
        <color theme="1"/>
        <rFont val="Calibri"/>
        <family val="2"/>
        <scheme val="minor"/>
      </rPr>
      <t xml:space="preserve">Availability of Monthly Incentive Plan: </t>
    </r>
    <r>
      <rPr>
        <sz val="11"/>
        <color theme="1"/>
        <rFont val="Calibri"/>
        <family val="2"/>
        <scheme val="minor"/>
      </rPr>
      <t>Verify that a monthly SMART incentive plan is available and within the advisors' control, covering areas such as service quality, attendance and punctuality, sales recognition, customer compliments, and knowledge tests.</t>
    </r>
  </si>
  <si>
    <r>
      <rPr>
        <b/>
        <sz val="11"/>
        <color theme="1"/>
        <rFont val="Calibri"/>
        <family val="2"/>
        <scheme val="minor"/>
      </rPr>
      <t xml:space="preserve">Basis of Incentive Rewards: </t>
    </r>
    <r>
      <rPr>
        <sz val="11"/>
        <color theme="1"/>
        <rFont val="Calibri"/>
        <family val="2"/>
        <scheme val="minor"/>
      </rPr>
      <t>Confirm that incentives are rewarded based on achievements at both individual and department levels (department level max impact is 20%).</t>
    </r>
  </si>
  <si>
    <r>
      <rPr>
        <b/>
        <sz val="11"/>
        <color theme="1"/>
        <rFont val="Calibri"/>
        <family val="2"/>
        <scheme val="minor"/>
      </rPr>
      <t>Staff Understanding:</t>
    </r>
    <r>
      <rPr>
        <sz val="11"/>
        <color theme="1"/>
        <rFont val="Calibri"/>
        <family val="2"/>
        <scheme val="minor"/>
      </rPr>
      <t xml:space="preserve"> Interviews or surveys will be conducted with staff to ensure they can explain the elements on which they are measured and incentivized.</t>
    </r>
  </si>
  <si>
    <r>
      <rPr>
        <b/>
        <sz val="11"/>
        <color theme="1"/>
        <rFont val="Calibri"/>
        <family val="2"/>
        <scheme val="minor"/>
      </rPr>
      <t xml:space="preserve">SMART Criteria Adherence: </t>
    </r>
    <r>
      <rPr>
        <sz val="11"/>
        <color theme="1"/>
        <rFont val="Calibri"/>
        <family val="2"/>
        <scheme val="minor"/>
      </rPr>
      <t>Ensure that the incentive plan follows the SMART approach, being Specific, Measurable, Attainable, Relevant, and Timebound.</t>
    </r>
  </si>
  <si>
    <r>
      <rPr>
        <b/>
        <sz val="11"/>
        <color theme="1"/>
        <rFont val="Calibri"/>
        <family val="2"/>
        <scheme val="minor"/>
      </rPr>
      <t xml:space="preserve">Documentation of Exceptions: </t>
    </r>
    <r>
      <rPr>
        <sz val="11"/>
        <color theme="1"/>
        <rFont val="Calibri"/>
        <family val="2"/>
        <scheme val="minor"/>
      </rPr>
      <t>Check that any section of the incentive plan decided to be paid despite no achievement is documented in a log, with justification and approval from the CS Head.</t>
    </r>
  </si>
  <si>
    <t xml:space="preserve"> P02      </t>
  </si>
  <si>
    <r>
      <rPr>
        <b/>
        <sz val="11"/>
        <color theme="1"/>
        <rFont val="Calibri"/>
        <family val="2"/>
        <scheme val="minor"/>
      </rPr>
      <t xml:space="preserve">Clear Selection Criteria: </t>
    </r>
    <r>
      <rPr>
        <sz val="11"/>
        <color theme="1"/>
        <rFont val="Calibri"/>
        <family val="2"/>
        <scheme val="minor"/>
      </rPr>
      <t>A clear selection criterion for recognizing top performers is in place and has been communicated to all advisors. This can be done by reviewing documentation and communication materials such as emails, newsletters, and internal memos.</t>
    </r>
  </si>
  <si>
    <r>
      <rPr>
        <b/>
        <sz val="11"/>
        <color theme="1"/>
        <rFont val="Calibri"/>
        <family val="2"/>
        <scheme val="minor"/>
      </rPr>
      <t xml:space="preserve">Advisor Understanding: </t>
    </r>
    <r>
      <rPr>
        <sz val="11"/>
        <color theme="1"/>
        <rFont val="Calibri"/>
        <family val="2"/>
        <scheme val="minor"/>
      </rPr>
      <t>Interviews or surveys could be conducted with advisors to ensure they can clearly state the respective criteria for recognition. This step ensures that all team members are aware of what is required to be recognized.</t>
    </r>
  </si>
  <si>
    <r>
      <rPr>
        <b/>
        <sz val="11"/>
        <color theme="1"/>
        <rFont val="Calibri"/>
        <family val="2"/>
        <scheme val="minor"/>
      </rPr>
      <t xml:space="preserve">Methods of Recognition: </t>
    </r>
    <r>
      <rPr>
        <sz val="11"/>
        <color theme="1"/>
        <rFont val="Calibri"/>
        <family val="2"/>
        <scheme val="minor"/>
      </rPr>
      <t xml:space="preserve">
•Confirm that recognition is given in various ways, such as certifications, gift vouchers, event tickets, daily positive encouragement through emails and team meetings, newsletters, compliments in DHL Insight magazine, posters, pictures, and monthly/yearly awards (e.g., Employee of the Year, Employee of the Quarter, CEO Award, Heroes of the Day/Month/Year).
•Review records of recognition activities to ensure that these methods are being implemented consistently.</t>
    </r>
  </si>
  <si>
    <t xml:space="preserve"> P03      </t>
  </si>
  <si>
    <r>
      <rPr>
        <b/>
        <sz val="11"/>
        <color theme="1"/>
        <rFont val="Calibri"/>
        <family val="2"/>
        <scheme val="minor"/>
      </rPr>
      <t xml:space="preserve">Comprehensive Coverage of Induction Course: </t>
    </r>
    <r>
      <rPr>
        <sz val="11"/>
        <color theme="1"/>
        <rFont val="Calibri"/>
        <family val="2"/>
        <scheme val="minor"/>
      </rPr>
      <t>The induction course structure for new staff will be verified to ensure it covers all necessary topics related to DHL products, processes, procedures, and all Customer Service applications. This includes CIS soft skills (e.g., The Art of Influencing, Managing Challenging Situations, Great Written Communication, etc.), Dangerous Goods (DG) knowledge, and other relevant areas.</t>
    </r>
  </si>
  <si>
    <r>
      <rPr>
        <b/>
        <sz val="11"/>
        <color theme="1"/>
        <rFont val="Calibri"/>
        <family val="2"/>
        <scheme val="minor"/>
      </rPr>
      <t>Assessment Methods During Induction:</t>
    </r>
    <r>
      <rPr>
        <sz val="11"/>
        <color theme="1"/>
        <rFont val="Calibri"/>
        <family val="2"/>
        <scheme val="minor"/>
      </rPr>
      <t xml:space="preserve"> Quizzes and assessments are conducted during the induction period. These assessments should include written quizzes, role plays, email writing exercises, and other relevant methods to evaluate the new staff's understanding and skills.</t>
    </r>
  </si>
  <si>
    <r>
      <rPr>
        <b/>
        <sz val="11"/>
        <color theme="1"/>
        <rFont val="Calibri"/>
        <family val="2"/>
        <scheme val="minor"/>
      </rPr>
      <t>Monitoring Progress:</t>
    </r>
    <r>
      <rPr>
        <sz val="11"/>
        <color theme="1"/>
        <rFont val="Calibri"/>
        <family val="2"/>
        <scheme val="minor"/>
      </rPr>
      <t xml:space="preserve"> The Quality/Training Team or Team Leader continues to monitor the progress of new staff during the first week of their induction. This involves observing performance and providing feedback.</t>
    </r>
  </si>
  <si>
    <r>
      <rPr>
        <b/>
        <sz val="11"/>
        <color theme="1"/>
        <rFont val="Calibri"/>
        <family val="2"/>
        <scheme val="minor"/>
      </rPr>
      <t xml:space="preserve">Documentation of Results and Follow-Up Actions: </t>
    </r>
    <r>
      <rPr>
        <sz val="11"/>
        <color theme="1"/>
        <rFont val="Calibri"/>
        <family val="2"/>
        <scheme val="minor"/>
      </rPr>
      <t>Check that all assessment results are duly recorded in individual coaching forms. Verify that follow-up actions are agreed upon, conducted, and documented to address any identified gaps or areas for improvement.</t>
    </r>
  </si>
  <si>
    <t xml:space="preserve"> P04      </t>
  </si>
  <si>
    <r>
      <rPr>
        <b/>
        <sz val="11"/>
        <color theme="1"/>
        <rFont val="Calibri"/>
        <family val="2"/>
        <scheme val="minor"/>
      </rPr>
      <t xml:space="preserve">Creation of Structured Roadmaps: </t>
    </r>
    <r>
      <rPr>
        <sz val="11"/>
        <color theme="1"/>
        <rFont val="Calibri"/>
        <family val="2"/>
        <scheme val="minor"/>
      </rPr>
      <t>Verify that a structured training roadmap is created for every CS position, detailing the specific training programs required for each role.</t>
    </r>
  </si>
  <si>
    <r>
      <rPr>
        <b/>
        <sz val="11"/>
        <color theme="1"/>
        <rFont val="Calibri"/>
        <family val="2"/>
        <scheme val="minor"/>
      </rPr>
      <t xml:space="preserve">Annual Training Calendar: </t>
    </r>
    <r>
      <rPr>
        <sz val="11"/>
        <color theme="1"/>
        <rFont val="Calibri"/>
        <family val="2"/>
        <scheme val="minor"/>
      </rPr>
      <t>Check that at the beginning of each year, a calendar of scheduled training sessions is defined and communicated to all staff. This calendar should outline all the courses planned for the year, including the new hires plan.</t>
    </r>
  </si>
  <si>
    <r>
      <rPr>
        <b/>
        <sz val="11"/>
        <color theme="1"/>
        <rFont val="Calibri"/>
        <family val="2"/>
        <scheme val="minor"/>
      </rPr>
      <t xml:space="preserve">Training Calendar Details: </t>
    </r>
    <r>
      <rPr>
        <sz val="11"/>
        <color theme="1"/>
        <rFont val="Calibri"/>
        <family val="2"/>
        <scheme val="minor"/>
      </rPr>
      <t>Ensure that the training calendar includes all the courses for the year and accounts for potential rescheduling due to project postponements.</t>
    </r>
  </si>
  <si>
    <r>
      <rPr>
        <b/>
        <sz val="11"/>
        <color theme="1"/>
        <rFont val="Calibri"/>
        <family val="2"/>
        <scheme val="minor"/>
      </rPr>
      <t xml:space="preserve">Audit and Validation: </t>
    </r>
    <r>
      <rPr>
        <sz val="11"/>
        <color theme="1"/>
        <rFont val="Calibri"/>
        <family val="2"/>
        <scheme val="minor"/>
      </rPr>
      <t>An audit of the training annual plan may be conducted to validate with the training department that the activities posted have been completed as scheduled. This includes reviewing the training records of individual staff.</t>
    </r>
  </si>
  <si>
    <r>
      <rPr>
        <b/>
        <sz val="11"/>
        <color theme="1"/>
        <rFont val="Calibri"/>
        <family val="2"/>
        <scheme val="minor"/>
      </rPr>
      <t xml:space="preserve">Career Progression Integration: </t>
    </r>
    <r>
      <rPr>
        <sz val="11"/>
        <color theme="1"/>
        <rFont val="Calibri"/>
        <family val="2"/>
        <scheme val="minor"/>
      </rPr>
      <t>Verify that the training roadmap complements the career progression plan, showing the training needs and requirements for each CS position.</t>
    </r>
  </si>
  <si>
    <r>
      <rPr>
        <b/>
        <sz val="11"/>
        <color theme="1"/>
        <rFont val="Calibri"/>
        <family val="2"/>
        <scheme val="minor"/>
      </rPr>
      <t>Training Material Availability:</t>
    </r>
    <r>
      <rPr>
        <sz val="11"/>
        <color theme="1"/>
        <rFont val="Calibri"/>
        <family val="2"/>
        <scheme val="minor"/>
      </rPr>
      <t xml:space="preserve"> Ensure that each staff member has access to material about the conducted training, either in hardcopy or through an online portal.</t>
    </r>
  </si>
  <si>
    <t xml:space="preserve"> P05      </t>
  </si>
  <si>
    <r>
      <rPr>
        <b/>
        <sz val="11"/>
        <color theme="1"/>
        <rFont val="Calibri"/>
        <family val="2"/>
        <scheme val="minor"/>
      </rPr>
      <t>Regular Skills Verification:</t>
    </r>
    <r>
      <rPr>
        <sz val="11"/>
        <color theme="1"/>
        <rFont val="Calibri"/>
        <family val="2"/>
        <scheme val="minor"/>
      </rPr>
      <t xml:space="preserve"> Verify that skills verification exercises, such as quizzes, are conducted for all staff at all levels at least quarterly for Advisors and at least every six months for all other roles, excluding the CS Head.</t>
    </r>
  </si>
  <si>
    <r>
      <rPr>
        <b/>
        <sz val="11"/>
        <color theme="1"/>
        <rFont val="Calibri"/>
        <family val="2"/>
        <scheme val="minor"/>
      </rPr>
      <t xml:space="preserve">Defined Pass Mark: </t>
    </r>
    <r>
      <rPr>
        <sz val="11"/>
        <color theme="1"/>
        <rFont val="Calibri"/>
        <family val="2"/>
        <scheme val="minor"/>
      </rPr>
      <t>Confirm that a pass mark is defined before the verification exercises and communicated to all staff, ensuring that everyone is aware of the required standards.</t>
    </r>
  </si>
  <si>
    <r>
      <rPr>
        <b/>
        <sz val="11"/>
        <color theme="1"/>
        <rFont val="Calibri"/>
        <family val="2"/>
        <scheme val="minor"/>
      </rPr>
      <t xml:space="preserve">Sharing of Results: </t>
    </r>
    <r>
      <rPr>
        <sz val="11"/>
        <color theme="1"/>
        <rFont val="Calibri"/>
        <family val="2"/>
        <scheme val="minor"/>
      </rPr>
      <t>Ensure that the results of the skills verification exercises are shared with the CS Development Team. This team will use the results to generate tips and job aides where applicable, supporting continuous improvement and development.</t>
    </r>
  </si>
  <si>
    <t xml:space="preserve"> P06      </t>
  </si>
  <si>
    <r>
      <rPr>
        <b/>
        <sz val="11"/>
        <color theme="1"/>
        <rFont val="Calibri"/>
        <family val="2"/>
        <scheme val="minor"/>
      </rPr>
      <t xml:space="preserve">Monitoring of Interactions: </t>
    </r>
    <r>
      <rPr>
        <sz val="11"/>
        <color theme="1"/>
        <rFont val="Calibri"/>
        <family val="2"/>
        <scheme val="minor"/>
      </rPr>
      <t>Verify that interactions handled by new staff are monitored by Supervisors, Trainers, Managers, or the CS Development Team using the global quality evaluation criteria.</t>
    </r>
  </si>
  <si>
    <r>
      <rPr>
        <b/>
        <sz val="11"/>
        <color theme="1"/>
        <rFont val="Calibri"/>
        <family val="2"/>
        <scheme val="minor"/>
      </rPr>
      <t>Achievement of Minimum Threshold:</t>
    </r>
    <r>
      <rPr>
        <sz val="11"/>
        <color theme="1"/>
        <rFont val="Calibri"/>
        <family val="2"/>
        <scheme val="minor"/>
      </rPr>
      <t xml:space="preserve"> Confirm that only CS Advisors who have achieved the minimum threshold are allowed to go live unassisted. For those who do not meet the minimum threshold, ensure that gaps are identified, re-training is provided, and monitoring and coaching continue until the required standards are met.</t>
    </r>
  </si>
  <si>
    <r>
      <rPr>
        <b/>
        <sz val="11"/>
        <color theme="1"/>
        <rFont val="Calibri"/>
        <family val="2"/>
        <scheme val="minor"/>
      </rPr>
      <t xml:space="preserve">Documentation of Results: </t>
    </r>
    <r>
      <rPr>
        <sz val="11"/>
        <color theme="1"/>
        <rFont val="Calibri"/>
        <family val="2"/>
        <scheme val="minor"/>
      </rPr>
      <t>Ensure that all results are duly documented in individual coaching forms, with follow-up actions agreed upon, conducted, and documented.</t>
    </r>
  </si>
  <si>
    <r>
      <rPr>
        <b/>
        <sz val="11"/>
        <color theme="1"/>
        <rFont val="Calibri"/>
        <family val="2"/>
        <scheme val="minor"/>
      </rPr>
      <t xml:space="preserve">Follow-Up Report: </t>
    </r>
    <r>
      <rPr>
        <sz val="11"/>
        <color theme="1"/>
        <rFont val="Calibri"/>
        <family val="2"/>
        <scheme val="minor"/>
      </rPr>
      <t>Verify that the report of follow-up training is filled with the necessary information and formats provided by Team Leaders, Training, and Customer Experience/Quality Assurance teams. Check that these reports are stored in the folder of each Advisor.</t>
    </r>
  </si>
  <si>
    <t xml:space="preserve"> P07      </t>
  </si>
  <si>
    <r>
      <rPr>
        <b/>
        <sz val="11"/>
        <color theme="1"/>
        <rFont val="Calibri"/>
        <family val="2"/>
        <scheme val="minor"/>
      </rPr>
      <t>Scheduling and Communication of Coaching Sessions:</t>
    </r>
    <r>
      <rPr>
        <sz val="11"/>
        <color theme="1"/>
        <rFont val="Calibri"/>
        <family val="2"/>
        <scheme val="minor"/>
      </rPr>
      <t xml:space="preserve"> Verify that formal coaching sessions are held at least once a month per staff member and are scheduled during periods of low inbound call/trace/work volume. Ensure that the coaching schedule is communicated to the staff in advance.</t>
    </r>
  </si>
  <si>
    <r>
      <rPr>
        <b/>
        <sz val="11"/>
        <color theme="1"/>
        <rFont val="Calibri"/>
        <family val="2"/>
        <scheme val="minor"/>
      </rPr>
      <t xml:space="preserve">Use of Formal Coaching Forms: </t>
    </r>
    <r>
      <rPr>
        <sz val="11"/>
        <color theme="1"/>
        <rFont val="Calibri"/>
        <family val="2"/>
        <scheme val="minor"/>
      </rPr>
      <t>Confirm that a formal coaching form is used for all staff at all levels. The form should capture monthly and year-to-date (YTD) KPI performance, areas of strengths and improvements, feedback and agreement from both the superior and the staff, follow-up on agreed actions/performance, and the review date.</t>
    </r>
  </si>
  <si>
    <r>
      <rPr>
        <b/>
        <sz val="11"/>
        <color theme="1"/>
        <rFont val="Calibri"/>
        <family val="2"/>
        <scheme val="minor"/>
      </rPr>
      <t xml:space="preserve">Timely Feedback on Performance: </t>
    </r>
    <r>
      <rPr>
        <sz val="11"/>
        <color theme="1"/>
        <rFont val="Calibri"/>
        <family val="2"/>
        <scheme val="minor"/>
      </rPr>
      <t>Ensure that feedback targeting performance improvement, for example in relation to Customer Experience/Business Process Quality assessments, or on failed transactions monitored, is given within the day or by the next working day at the latest.</t>
    </r>
  </si>
  <si>
    <r>
      <rPr>
        <b/>
        <sz val="11"/>
        <color theme="1"/>
        <rFont val="Calibri"/>
        <family val="2"/>
        <scheme val="minor"/>
      </rPr>
      <t>Detailed Monthly Feedback:</t>
    </r>
    <r>
      <rPr>
        <sz val="11"/>
        <color theme="1"/>
        <rFont val="Calibri"/>
        <family val="2"/>
        <scheme val="minor"/>
      </rPr>
      <t xml:space="preserve"> Verify that the monthly feedback provided verbally and in writing is detailed, guides the staff on how to improve, is documented in the coaching form with an indication of the date of the feedback, and that staff have an electronic copy of their respective coaching sheets stored in a shared folder/SharePoint.</t>
    </r>
  </si>
  <si>
    <r>
      <rPr>
        <b/>
        <sz val="11"/>
        <color theme="1"/>
        <rFont val="Calibri"/>
        <family val="2"/>
        <scheme val="minor"/>
      </rPr>
      <t xml:space="preserve">Immediate Coaching: </t>
    </r>
    <r>
      <rPr>
        <sz val="11"/>
        <color theme="1"/>
        <rFont val="Calibri"/>
        <family val="2"/>
        <scheme val="minor"/>
      </rPr>
      <t>Confirm that immediate coaching is arranged where applicable to improve performance or rectify failed transactions, and that these sessions are recorded to provide proof. This can be conducted via chat, emails, MS Teams, etc.</t>
    </r>
  </si>
  <si>
    <t xml:space="preserve"> P08      </t>
  </si>
  <si>
    <r>
      <rPr>
        <b/>
        <sz val="11"/>
        <color theme="1"/>
        <rFont val="Calibri"/>
        <family val="2"/>
        <scheme val="minor"/>
      </rPr>
      <t xml:space="preserve">Documentation Review: </t>
    </r>
    <r>
      <rPr>
        <sz val="11"/>
        <color theme="1"/>
        <rFont val="Calibri"/>
        <family val="2"/>
        <scheme val="minor"/>
      </rPr>
      <t>Review the documentation from monthly coaching sessions to confirm that at least one topic is documented for the coachee using the TGROW format. This will involve checking session notes to ensure compliance with this requirement.</t>
    </r>
  </si>
  <si>
    <r>
      <rPr>
        <b/>
        <sz val="11"/>
        <color theme="1"/>
        <rFont val="Calibri"/>
        <family val="2"/>
        <scheme val="minor"/>
      </rPr>
      <t xml:space="preserve">TGROW Topic Relevance: </t>
    </r>
    <r>
      <rPr>
        <sz val="11"/>
        <color theme="1"/>
        <rFont val="Calibri"/>
        <family val="2"/>
        <scheme val="minor"/>
      </rPr>
      <t>Verify that the TGROW topics addressed during coaching cover developmental areas relevant to the coachee’s role and include follow-up actions. This will be assessed by examining the topics selected for discussion.</t>
    </r>
  </si>
  <si>
    <r>
      <rPr>
        <b/>
        <sz val="11"/>
        <color theme="1"/>
        <rFont val="Calibri"/>
        <family val="2"/>
        <scheme val="minor"/>
      </rPr>
      <t xml:space="preserve">TGROW Format Confirmation: </t>
    </r>
    <r>
      <rPr>
        <sz val="11"/>
        <color theme="1"/>
        <rFont val="Calibri"/>
        <family val="2"/>
        <scheme val="minor"/>
      </rPr>
      <t>Ensure that the TGROW format is explicitly mentioned or evident in the documentation for each session. This will involve reviewing the structure of the notes taken during coaching.</t>
    </r>
  </si>
  <si>
    <r>
      <rPr>
        <b/>
        <sz val="11"/>
        <color theme="1"/>
        <rFont val="Calibri"/>
        <family val="2"/>
        <scheme val="minor"/>
      </rPr>
      <t xml:space="preserve">SMART Goals Verification: </t>
    </r>
    <r>
      <rPr>
        <sz val="11"/>
        <color theme="1"/>
        <rFont val="Calibri"/>
        <family val="2"/>
        <scheme val="minor"/>
      </rPr>
      <t>Check that the goals set during coaching sessions are clear, specific, measurable, achievable, relevant, and time-bound (SMART). This will be confirmed by reviewing the documented goals for each coachee.</t>
    </r>
  </si>
  <si>
    <r>
      <rPr>
        <b/>
        <sz val="11"/>
        <color theme="1"/>
        <rFont val="Calibri"/>
        <family val="2"/>
        <scheme val="minor"/>
      </rPr>
      <t xml:space="preserve">Follow-Up on Previous Goals: </t>
    </r>
    <r>
      <rPr>
        <sz val="11"/>
        <color theme="1"/>
        <rFont val="Calibri"/>
        <family val="2"/>
        <scheme val="minor"/>
      </rPr>
      <t>Verify that there is a follow-up on previously set goals in subsequent coaching sessions. Documentation should reflect discussions on progress toward these goals.</t>
    </r>
  </si>
  <si>
    <r>
      <rPr>
        <b/>
        <sz val="11"/>
        <color theme="1"/>
        <rFont val="Calibri"/>
        <family val="2"/>
        <scheme val="minor"/>
      </rPr>
      <t xml:space="preserve">Exploration of Options and Strategies: </t>
    </r>
    <r>
      <rPr>
        <sz val="11"/>
        <color theme="1"/>
        <rFont val="Calibri"/>
        <family val="2"/>
        <scheme val="minor"/>
      </rPr>
      <t>Confirm that a range of options and strategies are explored during coaching sessions. This will be assessed by reviewing session notes to ensure diverse approaches are discussed.</t>
    </r>
  </si>
  <si>
    <r>
      <rPr>
        <b/>
        <sz val="11"/>
        <color theme="1"/>
        <rFont val="Calibri"/>
        <family val="2"/>
        <scheme val="minor"/>
      </rPr>
      <t xml:space="preserve">Encouragement of Creative Thinking: </t>
    </r>
    <r>
      <rPr>
        <sz val="11"/>
        <color theme="1"/>
        <rFont val="Calibri"/>
        <family val="2"/>
        <scheme val="minor"/>
      </rPr>
      <t>Adopting enabling coaching style to encourage coachee to think creatively and consider multiple solutions during the sessions. This will be verified through the documented interactions and feedback from the coachee.</t>
    </r>
  </si>
  <si>
    <r>
      <rPr>
        <b/>
        <sz val="11"/>
        <color theme="1"/>
        <rFont val="Calibri"/>
        <family val="2"/>
        <scheme val="minor"/>
      </rPr>
      <t xml:space="preserve">Action Plan Agreement: </t>
    </r>
    <r>
      <rPr>
        <sz val="11"/>
        <color theme="1"/>
        <rFont val="Calibri"/>
        <family val="2"/>
        <scheme val="minor"/>
      </rPr>
      <t>Check that there is a clear plan of action agreed upon at the end of each session. Documentation should include a summary of the agreed-upon actions.</t>
    </r>
  </si>
  <si>
    <r>
      <rPr>
        <b/>
        <sz val="11"/>
        <color theme="1"/>
        <rFont val="Calibri"/>
        <family val="2"/>
        <scheme val="minor"/>
      </rPr>
      <t xml:space="preserve">Commitment to Actions and Timelines: </t>
    </r>
    <r>
      <rPr>
        <sz val="11"/>
        <color theme="1"/>
        <rFont val="Calibri"/>
        <family val="2"/>
        <scheme val="minor"/>
      </rPr>
      <t>Verify that the coachee commits to specific actions and timelines after each session. This will be confirmed by reviewing the action items documented during the coaching.</t>
    </r>
  </si>
  <si>
    <t xml:space="preserve"> P09      </t>
  </si>
  <si>
    <r>
      <rPr>
        <b/>
        <sz val="11"/>
        <color theme="1"/>
        <rFont val="Calibri"/>
        <family val="2"/>
        <scheme val="minor"/>
      </rPr>
      <t>Quarterly Calibration Sessions:</t>
    </r>
    <r>
      <rPr>
        <sz val="11"/>
        <color theme="1"/>
        <rFont val="Calibri"/>
        <family val="2"/>
        <scheme val="minor"/>
      </rPr>
      <t xml:space="preserve"> Verify that, in cases where more than one person is performing quality evaluation monitoring per work type, a minimum of 3 types of requests/cases are conducted per quarter per section.</t>
    </r>
  </si>
  <si>
    <r>
      <rPr>
        <b/>
        <sz val="11"/>
        <color theme="1"/>
        <rFont val="Calibri"/>
        <family val="2"/>
        <scheme val="minor"/>
      </rPr>
      <t xml:space="preserve">Coverage of Different Work Types: </t>
    </r>
    <r>
      <rPr>
        <sz val="11"/>
        <color theme="1"/>
        <rFont val="Calibri"/>
        <family val="2"/>
        <scheme val="minor"/>
      </rPr>
      <t>Ensure that calibration sessions throughout the year cover all different work types where more than one person is performing QM, including calls, chats, traces, network activities, claims, complaints, and remote bookings.</t>
    </r>
  </si>
  <si>
    <r>
      <rPr>
        <b/>
        <sz val="11"/>
        <color theme="1"/>
        <rFont val="Calibri"/>
        <family val="2"/>
        <scheme val="minor"/>
      </rPr>
      <t xml:space="preserve">Independent Review and Rating: </t>
    </r>
    <r>
      <rPr>
        <sz val="11"/>
        <color theme="1"/>
        <rFont val="Calibri"/>
        <family val="2"/>
        <scheme val="minor"/>
      </rPr>
      <t>Confirm that all calibration participants review the same calls, chats, emails, or cases and rate them independently. In cases where participants have different ratings, verify that the differences are discussed, and agreements are documented.</t>
    </r>
  </si>
  <si>
    <r>
      <rPr>
        <b/>
        <sz val="11"/>
        <color theme="1"/>
        <rFont val="Calibri"/>
        <family val="2"/>
        <scheme val="minor"/>
      </rPr>
      <t xml:space="preserve">Documentation of Meeting Minutes: </t>
    </r>
    <r>
      <rPr>
        <sz val="11"/>
        <color theme="1"/>
        <rFont val="Calibri"/>
        <family val="2"/>
        <scheme val="minor"/>
      </rPr>
      <t>Check that meeting minutes are available, including details such as reviewed interactions (e.g., account or booking number), AWB number or request/activity ID, the rating of each participant per reviewed call/case, and a summary of the agreement and action items.</t>
    </r>
  </si>
  <si>
    <r>
      <rPr>
        <b/>
        <sz val="11"/>
        <color theme="1"/>
        <rFont val="Calibri"/>
        <family val="2"/>
        <scheme val="minor"/>
      </rPr>
      <t xml:space="preserve">Re-Calibration for Consistency: </t>
    </r>
    <r>
      <rPr>
        <sz val="11"/>
        <color theme="1"/>
        <rFont val="Calibri"/>
        <family val="2"/>
        <scheme val="minor"/>
      </rPr>
      <t>Ensure that re-calibration sessions are conducted as needed to ensure consistent alignment on areas where participants have different ratings.</t>
    </r>
  </si>
  <si>
    <t xml:space="preserve"> P10      </t>
  </si>
  <si>
    <r>
      <rPr>
        <b/>
        <sz val="11"/>
        <color theme="1"/>
        <rFont val="Calibri"/>
        <family val="2"/>
        <scheme val="minor"/>
      </rPr>
      <t xml:space="preserve">Monthly Evaluations: </t>
    </r>
    <r>
      <rPr>
        <sz val="11"/>
        <color theme="1"/>
        <rFont val="Calibri"/>
        <family val="2"/>
        <scheme val="minor"/>
      </rPr>
      <t>Verify that every Customer Service Advisor is evaluated every month according to the global standards, which are available on SharePoint.</t>
    </r>
  </si>
  <si>
    <r>
      <rPr>
        <b/>
        <sz val="11"/>
        <color theme="1"/>
        <rFont val="Calibri"/>
        <family val="2"/>
        <scheme val="minor"/>
      </rPr>
      <t xml:space="preserve">Completion of Evaluation Forms: </t>
    </r>
    <r>
      <rPr>
        <sz val="11"/>
        <color theme="1"/>
        <rFont val="Calibri"/>
        <family val="2"/>
        <scheme val="minor"/>
      </rPr>
      <t>Confirm that the evaluation forms are filled out according to global instructions, ensuring consistency and adherence to set guidelines.</t>
    </r>
  </si>
  <si>
    <r>
      <rPr>
        <b/>
        <sz val="11"/>
        <color theme="1"/>
        <rFont val="Calibri"/>
        <family val="2"/>
        <scheme val="minor"/>
      </rPr>
      <t>Minimum Evaluations Per Advisor:</t>
    </r>
    <r>
      <rPr>
        <sz val="11"/>
        <color theme="1"/>
        <rFont val="Calibri"/>
        <family val="2"/>
        <scheme val="minor"/>
      </rPr>
      <t xml:space="preserve">
•Ensure that each Advisor handles a minimum of 10 evaluations per month, covering various interactions such as calls, traces, network activities, claims, complaints, remote bookings, emails, and other interactions.
•The evaluations should be pro-rated based on the contact channel and work type. For example, if a Frontline advisor spends 50% of their time on calls and 50% of their time on chats, the QM should be split the same i.e. 5 calls QM and 5 chats QM.</t>
    </r>
  </si>
  <si>
    <r>
      <rPr>
        <b/>
        <sz val="11"/>
        <color theme="1"/>
        <rFont val="Calibri"/>
        <family val="2"/>
        <scheme val="minor"/>
      </rPr>
      <t xml:space="preserve">Feedback and Coaching Sessions: </t>
    </r>
    <r>
      <rPr>
        <sz val="11"/>
        <color theme="1"/>
        <rFont val="Calibri"/>
        <family val="2"/>
        <scheme val="minor"/>
      </rPr>
      <t>Check that feedback and coaching sessions are conducted after or during each evaluation to help improve performance for future customer contacts. It is recommended that 20-30% of evaluations are conducted side-by-side.</t>
    </r>
  </si>
  <si>
    <r>
      <rPr>
        <b/>
        <sz val="11"/>
        <color theme="1"/>
        <rFont val="Calibri"/>
        <family val="2"/>
        <scheme val="minor"/>
      </rPr>
      <t xml:space="preserve">Pro Rata Evaluations for Leave: </t>
    </r>
    <r>
      <rPr>
        <sz val="11"/>
        <color theme="1"/>
        <rFont val="Calibri"/>
        <family val="2"/>
        <scheme val="minor"/>
      </rPr>
      <t>Ensure that quality evaluations are performed pro rata for advisors on leave (e.g., 1 week of leave = 8 evaluations, 2 weeks of leave = 5 evaluations, 3 weeks of leave = 3 evaluations).</t>
    </r>
  </si>
  <si>
    <r>
      <rPr>
        <b/>
        <sz val="11"/>
        <color theme="1"/>
        <rFont val="Calibri"/>
        <family val="2"/>
        <scheme val="minor"/>
      </rPr>
      <t>Split of Evaluation Methods:</t>
    </r>
    <r>
      <rPr>
        <sz val="11"/>
        <color theme="1"/>
        <rFont val="Calibri"/>
        <family val="2"/>
        <scheme val="minor"/>
      </rPr>
      <t xml:space="preserve"> Confirm that Contact Centre and Customer Care/KAD quality evaluations are conducted with a split of 70-80% remote and 20-30% side-by-side observation. The type of observation should be indicated on the quality evaluation sheet.</t>
    </r>
  </si>
  <si>
    <t xml:space="preserve"> P11      </t>
  </si>
  <si>
    <r>
      <rPr>
        <b/>
        <sz val="11"/>
        <color theme="1"/>
        <rFont val="Calibri"/>
        <family val="2"/>
        <scheme val="minor"/>
      </rPr>
      <t>Regular Activities:</t>
    </r>
    <r>
      <rPr>
        <sz val="11"/>
        <color theme="1"/>
        <rFont val="Calibri"/>
        <family val="2"/>
        <scheme val="minor"/>
      </rPr>
      <t xml:space="preserve"> Verify that various team-building and motivational activities are performed on a regular basis, either in person or virtually. Confirm that staff can quote examples of such activities, including Customer Service Week, Christmas gift exchanges, team outings organized by Supervisors, Family Day, parties, breakfast events, Theme Days on Fridays, Customer Service Conference, cooking classes, DHL Idol, weekend cricket, and tournaments against other functions.</t>
    </r>
  </si>
  <si>
    <r>
      <rPr>
        <b/>
        <sz val="11"/>
        <color theme="1"/>
        <rFont val="Calibri"/>
        <family val="2"/>
        <scheme val="minor"/>
      </rPr>
      <t>Documentation and Sharing of Events:</t>
    </r>
    <r>
      <rPr>
        <sz val="11"/>
        <color theme="1"/>
        <rFont val="Calibri"/>
        <family val="2"/>
        <scheme val="minor"/>
      </rPr>
      <t xml:space="preserve"> Ensure that pictures and photos of these events are shared on platforms such as SharePoint, SmartConnect, and newsletters, are displayed in the Customer Service Centre. This documentation serves as evidence of the activities being conducted and helps to foster a sense of community and engagement among staff.</t>
    </r>
  </si>
  <si>
    <t xml:space="preserve"> P12      </t>
  </si>
  <si>
    <r>
      <rPr>
        <b/>
        <sz val="11"/>
        <color theme="1"/>
        <rFont val="Calibri"/>
        <family val="2"/>
        <scheme val="minor"/>
      </rPr>
      <t xml:space="preserve">Review of Action Plans: </t>
    </r>
    <r>
      <rPr>
        <sz val="11"/>
        <color theme="1"/>
        <rFont val="Calibri"/>
        <family val="2"/>
        <scheme val="minor"/>
      </rPr>
      <t>Verify that action plans are in place at both the country and section levels to review and positively influence EOS results. This includes checking for documented plans that outline specific actions to address identified areas for improvement.</t>
    </r>
  </si>
  <si>
    <r>
      <rPr>
        <b/>
        <sz val="11"/>
        <color theme="1"/>
        <rFont val="Calibri"/>
        <family val="2"/>
        <scheme val="minor"/>
      </rPr>
      <t xml:space="preserve">Incorporation of Sustainable Results: </t>
    </r>
    <r>
      <rPr>
        <sz val="11"/>
        <color theme="1"/>
        <rFont val="Calibri"/>
        <family val="2"/>
        <scheme val="minor"/>
      </rPr>
      <t>Confirm that the action plans incorporate strategies to ensure sustainable results over the years, even when 100% of all EOS KPIs are achieved. This includes reviewing long-term plans and initiatives designed to maintain high levels of employee satisfaction and engagement.</t>
    </r>
  </si>
  <si>
    <r>
      <rPr>
        <b/>
        <sz val="11"/>
        <color theme="1"/>
        <rFont val="Calibri"/>
        <family val="2"/>
        <scheme val="minor"/>
      </rPr>
      <t xml:space="preserve">Implementation and Monitoring: </t>
    </r>
    <r>
      <rPr>
        <sz val="11"/>
        <color theme="1"/>
        <rFont val="Calibri"/>
        <family val="2"/>
        <scheme val="minor"/>
      </rPr>
      <t>Ensure that the action plans are actively implemented and monitored. This involves checking for evidence of ongoing actions, progress tracking, and regular reviews to assess the effectiveness of the initiatives.</t>
    </r>
  </si>
  <si>
    <r>
      <rPr>
        <b/>
        <sz val="11"/>
        <color theme="1"/>
        <rFont val="Calibri"/>
        <family val="2"/>
        <scheme val="minor"/>
      </rPr>
      <t xml:space="preserve">Documentation and Communication: </t>
    </r>
    <r>
      <rPr>
        <sz val="11"/>
        <color theme="1"/>
        <rFont val="Calibri"/>
        <family val="2"/>
        <scheme val="minor"/>
      </rPr>
      <t>Verify that the action plans are well-documented and communicated to all relevant stakeholders. This includes ensuring that employees are aware of the actions being taken in response to their feedback and that there is transparency in the process.</t>
    </r>
  </si>
  <si>
    <t xml:space="preserve"> T01      </t>
  </si>
  <si>
    <r>
      <rPr>
        <b/>
        <sz val="11"/>
        <color theme="1"/>
        <rFont val="Calibri"/>
        <family val="2"/>
        <scheme val="minor"/>
      </rPr>
      <t>Existence and Accessibility of Definition:</t>
    </r>
    <r>
      <rPr>
        <sz val="11"/>
        <color theme="1"/>
        <rFont val="Calibri"/>
        <family val="2"/>
        <scheme val="minor"/>
      </rPr>
      <t xml:space="preserve"> Verify that a clear definition (local or regional) of what constitutes a quality sales lead exists and has been agreed upon with the Commercial team. Ensure that this definition is shared with all staff and is accessible on platforms such as a shared drive, Smart Connect, or SharePoint.</t>
    </r>
  </si>
  <si>
    <r>
      <rPr>
        <b/>
        <sz val="11"/>
        <color theme="1"/>
        <rFont val="Calibri"/>
        <family val="2"/>
        <scheme val="minor"/>
      </rPr>
      <t>Staff Awareness and Understanding:</t>
    </r>
    <r>
      <rPr>
        <sz val="11"/>
        <color theme="1"/>
        <rFont val="Calibri"/>
        <family val="2"/>
        <scheme val="minor"/>
      </rPr>
      <t xml:space="preserve"> Conduct interviews with staff members to confirm their awareness of the sales lead criteria. Ensure that interviewed staff can accurately explain the agreed-upon definition of a quality sales lead.</t>
    </r>
  </si>
  <si>
    <r>
      <rPr>
        <b/>
        <sz val="11"/>
        <color theme="1"/>
        <rFont val="Calibri"/>
        <family val="2"/>
        <scheme val="minor"/>
      </rPr>
      <t>Consistent Storage of Sales Leads:</t>
    </r>
    <r>
      <rPr>
        <sz val="11"/>
        <color theme="1"/>
        <rFont val="Calibri"/>
        <family val="2"/>
        <scheme val="minor"/>
      </rPr>
      <t xml:space="preserve"> Review the process of storing sales leads to ensure that Customer Service Advisors are consistently entering sales leads into the CSV system according to the defined sales lead criteria. This includes checking records and entries in the CSV system to verify adherence to the criteria.</t>
    </r>
  </si>
  <si>
    <t xml:space="preserve"> T02      </t>
  </si>
  <si>
    <r>
      <rPr>
        <b/>
        <sz val="11"/>
        <color theme="1"/>
        <rFont val="Calibri"/>
        <family val="2"/>
        <scheme val="minor"/>
      </rPr>
      <t>Validation of Import Account Number:</t>
    </r>
    <r>
      <rPr>
        <sz val="11"/>
        <color theme="1"/>
        <rFont val="Calibri"/>
        <family val="2"/>
        <scheme val="minor"/>
      </rPr>
      <t xml:space="preserve"> Check the CSV History to verify if Customer Service Advisors (CSAs) follow the key activities stated in GRBP Section 3.5.1.1. Ensure that CSAs obtain and validate the import account number provided by the customer (requestor) as per Section 3.4. Remote Booking Processing Rules and GCSP Security Verification on Express Maps.</t>
    </r>
  </si>
  <si>
    <r>
      <rPr>
        <b/>
        <sz val="11"/>
        <color theme="1"/>
        <rFont val="Calibri"/>
        <family val="2"/>
        <scheme val="minor"/>
      </rPr>
      <t>Creation of Remote Booking Request:</t>
    </r>
    <r>
      <rPr>
        <sz val="11"/>
        <color theme="1"/>
        <rFont val="Calibri"/>
        <family val="2"/>
        <scheme val="minor"/>
      </rPr>
      <t xml:space="preserve"> Verify that, if the account number is valid and can be utilized, the remote booking request is created in CSV with completed and accurate details/information.</t>
    </r>
  </si>
  <si>
    <r>
      <rPr>
        <b/>
        <sz val="11"/>
        <color theme="1"/>
        <rFont val="Calibri"/>
        <family val="2"/>
        <scheme val="minor"/>
      </rPr>
      <t xml:space="preserve">Service Capability and Customs Requirements: </t>
    </r>
    <r>
      <rPr>
        <sz val="11"/>
        <color theme="1"/>
        <rFont val="Calibri"/>
        <family val="2"/>
        <scheme val="minor"/>
      </rPr>
      <t>Confirm that CSAs utilize CSV, DCT, and GSD to check service capability and customs requirements where relevant.</t>
    </r>
  </si>
  <si>
    <r>
      <rPr>
        <b/>
        <sz val="11"/>
        <color theme="1"/>
        <rFont val="Calibri"/>
        <family val="2"/>
        <scheme val="minor"/>
      </rPr>
      <t xml:space="preserve">Sharing Booking Reference Number: </t>
    </r>
    <r>
      <rPr>
        <sz val="11"/>
        <color theme="1"/>
        <rFont val="Calibri"/>
        <family val="2"/>
        <scheme val="minor"/>
      </rPr>
      <t>Ensure that the booking reference number is shared with the customer.</t>
    </r>
  </si>
  <si>
    <r>
      <rPr>
        <b/>
        <sz val="11"/>
        <color theme="1"/>
        <rFont val="Calibri"/>
        <family val="2"/>
        <scheme val="minor"/>
      </rPr>
      <t>Monitoring Progress:</t>
    </r>
    <r>
      <rPr>
        <sz val="11"/>
        <color theme="1"/>
        <rFont val="Calibri"/>
        <family val="2"/>
        <scheme val="minor"/>
      </rPr>
      <t xml:space="preserve"> Monitor the progress of the remote booking request via CSV and verify if the statuses (ACCEPT, REJECT, PROBLEM, UPDATE, CONFIRM, and HISTORY) are used correctly, as defined in the Global Remote Booking Process.</t>
    </r>
  </si>
  <si>
    <r>
      <rPr>
        <b/>
        <sz val="11"/>
        <color theme="1"/>
        <rFont val="Calibri"/>
        <family val="2"/>
        <scheme val="minor"/>
      </rPr>
      <t xml:space="preserve">Keeping Requestor Updated: </t>
    </r>
    <r>
      <rPr>
        <sz val="11"/>
        <color theme="1"/>
        <rFont val="Calibri"/>
        <family val="2"/>
        <scheme val="minor"/>
      </rPr>
      <t>Check if the requestor is kept updated until the shipment is picked up and the waybill number is shared.</t>
    </r>
  </si>
  <si>
    <r>
      <rPr>
        <b/>
        <sz val="11"/>
        <color theme="1"/>
        <rFont val="Calibri"/>
        <family val="2"/>
        <scheme val="minor"/>
      </rPr>
      <t xml:space="preserve">Handling Issues: </t>
    </r>
    <r>
      <rPr>
        <sz val="11"/>
        <color theme="1"/>
        <rFont val="Calibri"/>
        <family val="2"/>
        <scheme val="minor"/>
      </rPr>
      <t>Verify that any issues are communicated to the requestor within the same business day, and new shipper contact information or alternate instructions are requested if necessary.</t>
    </r>
  </si>
  <si>
    <r>
      <rPr>
        <b/>
        <sz val="11"/>
        <color theme="1"/>
        <rFont val="Calibri"/>
        <family val="2"/>
        <scheme val="minor"/>
      </rPr>
      <t xml:space="preserve">Escalation Process: </t>
    </r>
    <r>
      <rPr>
        <sz val="11"/>
        <color theme="1"/>
        <rFont val="Calibri"/>
        <family val="2"/>
        <scheme val="minor"/>
      </rPr>
      <t>Confirm that the requesting country follows the escalation process (per GRBP Section 3.7) if the quality of response is insufficient to resolve the query or request, or if no action has been taken within the agreed time frame.</t>
    </r>
  </si>
  <si>
    <r>
      <rPr>
        <b/>
        <sz val="11"/>
        <color theme="1"/>
        <rFont val="Calibri"/>
        <family val="2"/>
        <scheme val="minor"/>
      </rPr>
      <t>Acknowledgement and Contact with Customer:</t>
    </r>
    <r>
      <rPr>
        <sz val="11"/>
        <color theme="1"/>
        <rFont val="Calibri"/>
        <family val="2"/>
        <scheme val="minor"/>
      </rPr>
      <t xml:space="preserve"> Check the CSV History to verify if CSAs follow the key activities stated in GRBP Section 3.5.1.2. Ensure that the collecting country acknowledges the remote booking request, contacts the customer for pickup, and dispatches the booking within 8 working hours upon receiving the request (i.e., ACCEPT the remote booking request if all mandatory information is satisfactory).</t>
    </r>
  </si>
  <si>
    <r>
      <rPr>
        <b/>
        <sz val="11"/>
        <color theme="1"/>
        <rFont val="Calibri"/>
        <family val="2"/>
        <scheme val="minor"/>
      </rPr>
      <t>Handling Dispatch Issues:</t>
    </r>
    <r>
      <rPr>
        <sz val="11"/>
        <color theme="1"/>
        <rFont val="Calibri"/>
        <family val="2"/>
        <scheme val="minor"/>
      </rPr>
      <t xml:space="preserve"> Verify that if the collecting country is unable to dispatch (CONFIRM) the remote booking within 8 working hours, they raise a PROBLEM, UPDATE, or REJECT the remote booking and provide a detailed explanation to the requesting country. Ensure that the requesting country is kept always updated on the status of the remote booking.</t>
    </r>
  </si>
  <si>
    <r>
      <rPr>
        <b/>
        <sz val="11"/>
        <color theme="1"/>
        <rFont val="Calibri"/>
        <family val="2"/>
        <scheme val="minor"/>
      </rPr>
      <t>Reporting Problems:</t>
    </r>
    <r>
      <rPr>
        <sz val="11"/>
        <color theme="1"/>
        <rFont val="Calibri"/>
        <family val="2"/>
        <scheme val="minor"/>
      </rPr>
      <t xml:space="preserve"> Check in CSV if a problem was reported with the requested pickup (e.g., data is incomplete, sender cannot be contacted). Verify that the Advisor raised a PROBLEM to the requesting country to advise specific reasons or factors.</t>
    </r>
  </si>
  <si>
    <r>
      <rPr>
        <b/>
        <sz val="11"/>
        <color theme="1"/>
        <rFont val="Calibri"/>
        <family val="2"/>
        <scheme val="minor"/>
      </rPr>
      <t xml:space="preserve">Informing Waybill Number: </t>
    </r>
    <r>
      <rPr>
        <sz val="11"/>
        <color theme="1"/>
        <rFont val="Calibri"/>
        <family val="2"/>
        <scheme val="minor"/>
      </rPr>
      <t>Verify if the Advisor informed the requesting country of the waybill number after the shipment had been collected.</t>
    </r>
  </si>
  <si>
    <r>
      <rPr>
        <b/>
        <sz val="11"/>
        <color theme="1"/>
        <rFont val="Calibri"/>
        <family val="2"/>
        <scheme val="minor"/>
      </rPr>
      <t xml:space="preserve">Correct Use of Statuses: </t>
    </r>
    <r>
      <rPr>
        <sz val="11"/>
        <color theme="1"/>
        <rFont val="Calibri"/>
        <family val="2"/>
        <scheme val="minor"/>
      </rPr>
      <t>Monitor in CSV if the statuses (ACCEPT, REJECT, PROBLEM, UPDATE, CONFIRM, and HISTORY) are used correctly, as defined in the Global Remote Booking Process.</t>
    </r>
  </si>
  <si>
    <t xml:space="preserve"> T03      </t>
  </si>
  <si>
    <r>
      <rPr>
        <b/>
        <sz val="11"/>
        <color theme="1"/>
        <rFont val="Calibri"/>
        <family val="2"/>
        <scheme val="minor"/>
      </rPr>
      <t xml:space="preserve">Adherence to Global Booking Procedure: </t>
    </r>
    <r>
      <rPr>
        <sz val="11"/>
        <color theme="1"/>
        <rFont val="Calibri"/>
        <family val="2"/>
        <scheme val="minor"/>
      </rPr>
      <t>Verify that staff are fully aware of and adhere to the Global Booking Procedure. Check that staff are always using CSV correctly.</t>
    </r>
  </si>
  <si>
    <r>
      <rPr>
        <b/>
        <sz val="11"/>
        <color theme="1"/>
        <rFont val="Calibri"/>
        <family val="2"/>
        <scheme val="minor"/>
      </rPr>
      <t xml:space="preserve">Security Verification: </t>
    </r>
    <r>
      <rPr>
        <sz val="11"/>
        <color theme="1"/>
        <rFont val="Calibri"/>
        <family val="2"/>
        <scheme val="minor"/>
      </rPr>
      <t>Confirm that security verification is conducted on each interaction and aligns with the requirements described in the GCSP Security Verification process map, including eSecure.</t>
    </r>
  </si>
  <si>
    <r>
      <rPr>
        <b/>
        <sz val="11"/>
        <color theme="1"/>
        <rFont val="Calibri"/>
        <family val="2"/>
        <scheme val="minor"/>
      </rPr>
      <t xml:space="preserve">Customer Information Alignment: </t>
    </r>
    <r>
      <rPr>
        <sz val="11"/>
        <color theme="1"/>
        <rFont val="Calibri"/>
        <family val="2"/>
        <scheme val="minor"/>
      </rPr>
      <t>Ensure that the requested customer information is in alignment with the CS Booking Questions and is accurately stored in CSV.</t>
    </r>
  </si>
  <si>
    <r>
      <rPr>
        <b/>
        <sz val="11"/>
        <color theme="1"/>
        <rFont val="Calibri"/>
        <family val="2"/>
        <scheme val="minor"/>
      </rPr>
      <t xml:space="preserve">Proactive Checks: </t>
    </r>
    <r>
      <rPr>
        <sz val="11"/>
        <color theme="1"/>
        <rFont val="Calibri"/>
        <family val="2"/>
        <scheme val="minor"/>
      </rPr>
      <t>Verify that Proactive Destination News and Commodity Restrictions are checked as part of the booking process.</t>
    </r>
  </si>
  <si>
    <r>
      <rPr>
        <b/>
        <sz val="11"/>
        <color theme="1"/>
        <rFont val="Calibri"/>
        <family val="2"/>
        <scheme val="minor"/>
      </rPr>
      <t>Use of DCT Interface:</t>
    </r>
    <r>
      <rPr>
        <sz val="11"/>
        <color theme="1"/>
        <rFont val="Calibri"/>
        <family val="2"/>
        <scheme val="minor"/>
      </rPr>
      <t xml:space="preserve"> Confirm that the interface to DCT is used and that all mandatory information is entered correctly.</t>
    </r>
  </si>
  <si>
    <r>
      <rPr>
        <b/>
        <sz val="11"/>
        <color theme="1"/>
        <rFont val="Calibri"/>
        <family val="2"/>
        <scheme val="minor"/>
      </rPr>
      <t>Transit Time Quotation:</t>
    </r>
    <r>
      <rPr>
        <sz val="11"/>
        <color theme="1"/>
        <rFont val="Calibri"/>
        <family val="2"/>
        <scheme val="minor"/>
      </rPr>
      <t xml:space="preserve"> Ensure that transit times are quoted based on the destination zip code and are displayed in the DCT ‘Delivery Date Time’ panel.</t>
    </r>
  </si>
  <si>
    <r>
      <rPr>
        <b/>
        <sz val="11"/>
        <color theme="1"/>
        <rFont val="Calibri"/>
        <family val="2"/>
        <scheme val="minor"/>
      </rPr>
      <t xml:space="preserve">Offering Additional Services: </t>
    </r>
    <r>
      <rPr>
        <sz val="11"/>
        <color theme="1"/>
        <rFont val="Calibri"/>
        <family val="2"/>
        <scheme val="minor"/>
      </rPr>
      <t>Verify that TDI Products, Shipment Insurance and Optional Services (if applicable) are offered to customers during the booking process.</t>
    </r>
  </si>
  <si>
    <r>
      <rPr>
        <b/>
        <sz val="11"/>
        <color theme="1"/>
        <rFont val="Calibri"/>
        <family val="2"/>
        <scheme val="minor"/>
      </rPr>
      <t xml:space="preserve">Storage of Sales Leads and Quotations: </t>
    </r>
    <r>
      <rPr>
        <sz val="11"/>
        <color theme="1"/>
        <rFont val="Calibri"/>
        <family val="2"/>
        <scheme val="minor"/>
      </rPr>
      <t>Check that sales leads and quotations are stored accurately in CSV.</t>
    </r>
  </si>
  <si>
    <r>
      <rPr>
        <b/>
        <sz val="11"/>
        <color theme="1"/>
        <rFont val="Calibri"/>
        <family val="2"/>
        <scheme val="minor"/>
      </rPr>
      <t xml:space="preserve">Booking Reference/Quotation Number Verification: </t>
    </r>
    <r>
      <rPr>
        <sz val="11"/>
        <color theme="1"/>
        <rFont val="Calibri"/>
        <family val="2"/>
        <scheme val="minor"/>
      </rPr>
      <t>Confirm that CS Advisors verify if the customer requires a Booking Reference or Quotation Number, and that this information is provided if needed.</t>
    </r>
  </si>
  <si>
    <t xml:space="preserve"> T04      </t>
  </si>
  <si>
    <r>
      <rPr>
        <b/>
        <sz val="11"/>
        <color theme="1"/>
        <rFont val="Calibri"/>
        <family val="2"/>
        <scheme val="minor"/>
      </rPr>
      <t xml:space="preserve">Observation of Phone State Selection: </t>
    </r>
    <r>
      <rPr>
        <sz val="11"/>
        <color theme="1"/>
        <rFont val="Calibri"/>
        <family val="2"/>
        <scheme val="minor"/>
      </rPr>
      <t>Verify that all Customer Service Advisors and Supervisors consistently choose the correct state to reflect their current activities. This can be done through side-by-side observation of staff members.</t>
    </r>
  </si>
  <si>
    <r>
      <rPr>
        <b/>
        <sz val="11"/>
        <color theme="1"/>
        <rFont val="Calibri"/>
        <family val="2"/>
        <scheme val="minor"/>
      </rPr>
      <t xml:space="preserve">Understanding of State Modes: </t>
    </r>
    <r>
      <rPr>
        <sz val="11"/>
        <color theme="1"/>
        <rFont val="Calibri"/>
        <family val="2"/>
        <scheme val="minor"/>
      </rPr>
      <t>Conduct interviews or surveys with CS Advisors and Supervisors to ensure they can accurately explain the usage of each state mode (e.g., AUX 1: Meal, AUX 2: Break, AUX 3: Coaching, AUX 4: Training, AUX 5: Meeting, AUX 6: Unplanned Activities, AUX 7: Other Work, AUX 8: Supervisor Coaching, etc.).</t>
    </r>
  </si>
  <si>
    <r>
      <rPr>
        <b/>
        <sz val="11"/>
        <color theme="1"/>
        <rFont val="Calibri"/>
        <family val="2"/>
        <scheme val="minor"/>
      </rPr>
      <t xml:space="preserve">Review of AUX Reports: </t>
    </r>
    <r>
      <rPr>
        <sz val="11"/>
        <color theme="1"/>
        <rFont val="Calibri"/>
        <family val="2"/>
        <scheme val="minor"/>
      </rPr>
      <t>Verify the correct usage of the states by reviewing the AUX Report. This report should provide detailed information on the states selected by staff members and their corresponding activities.</t>
    </r>
  </si>
  <si>
    <t xml:space="preserve"> T05      </t>
  </si>
  <si>
    <r>
      <rPr>
        <b/>
        <sz val="11"/>
        <color theme="1"/>
        <rFont val="Calibri"/>
        <family val="2"/>
        <scheme val="minor"/>
      </rPr>
      <t>Adherence to Global SOP Standard Network Trace Procedures:</t>
    </r>
    <r>
      <rPr>
        <sz val="11"/>
        <color theme="1"/>
        <rFont val="Calibri"/>
        <family val="2"/>
        <scheme val="minor"/>
      </rPr>
      <t xml:space="preserve"> Verify that Customer Service Advisors are working in accordance with the Global SOP Standard Network Trace Procedures at all times. Check that traces are escalated according to the Network Escalation Process when necessary.</t>
    </r>
  </si>
  <si>
    <r>
      <rPr>
        <b/>
        <sz val="11"/>
        <color theme="1"/>
        <rFont val="Calibri"/>
        <family val="2"/>
        <scheme val="minor"/>
      </rPr>
      <t>Response Time to Customers:</t>
    </r>
    <r>
      <rPr>
        <sz val="11"/>
        <color theme="1"/>
        <rFont val="Calibri"/>
        <family val="2"/>
        <scheme val="minor"/>
      </rPr>
      <t xml:space="preserve"> Confirm that the response time to customers is based on the agreed callback time to provide feedback (e.g., every day, next business day, within a specified time frame). Ensure that this commitment is consistently met.</t>
    </r>
  </si>
  <si>
    <r>
      <rPr>
        <b/>
        <sz val="11"/>
        <color theme="1"/>
        <rFont val="Calibri"/>
        <family val="2"/>
        <scheme val="minor"/>
      </rPr>
      <t>Trace Communication Standards:</t>
    </r>
    <r>
      <rPr>
        <sz val="11"/>
        <color theme="1"/>
        <rFont val="Calibri"/>
        <family val="2"/>
        <scheme val="minor"/>
      </rPr>
      <t xml:space="preserve"> Ensure that all trace communications follow the standards outlined in the Global SOP Standard Network Trace Procedures.</t>
    </r>
  </si>
  <si>
    <r>
      <rPr>
        <b/>
        <sz val="11"/>
        <color theme="1"/>
        <rFont val="Calibri"/>
        <family val="2"/>
        <scheme val="minor"/>
      </rPr>
      <t xml:space="preserve">Handling Undeliverable Shipments: </t>
    </r>
    <r>
      <rPr>
        <sz val="11"/>
        <color theme="1"/>
        <rFont val="Calibri"/>
        <family val="2"/>
        <scheme val="minor"/>
      </rPr>
      <t>Verify that if a shipment is declared undeliverable, the CS Advisor follows the latest version of the Global SOP Network Operations Exception Handling Policy and Standards, Undeliverable Shipments. Check that the advisor requests instructions from the sender on how to handle the shipment (e.g., return to origin, redirect, abandon).</t>
    </r>
  </si>
  <si>
    <r>
      <rPr>
        <b/>
        <sz val="11"/>
        <color theme="1"/>
        <rFont val="Calibri"/>
        <family val="2"/>
        <scheme val="minor"/>
      </rPr>
      <t>Correct System Usage:</t>
    </r>
    <r>
      <rPr>
        <sz val="11"/>
        <color theme="1"/>
        <rFont val="Calibri"/>
        <family val="2"/>
        <scheme val="minor"/>
      </rPr>
      <t xml:space="preserve">
•Confirm that the following examples of correct system usage are adhered to:
•Verbiage accurately reflects the case type being handled.
•Callbacks reflect the agreement with the customer and are not negatively affected by internal DHL commitments (e.g., training, coaching, team meetings).
•Use of ODD (On-Demand Delivery) where applicable for shipment re-delivery.
•All documentation related to the request is uploaded into GEMA/SPARK as attachments (e.g., customer correspondence, damage reports), aligning with GDPR (General Data Protection Regulations).</t>
    </r>
  </si>
  <si>
    <r>
      <rPr>
        <b/>
        <sz val="11"/>
        <color theme="1"/>
        <rFont val="Calibri"/>
        <family val="2"/>
        <scheme val="minor"/>
      </rPr>
      <t xml:space="preserve">Accurate Recording of Actions: </t>
    </r>
    <r>
      <rPr>
        <sz val="11"/>
        <color theme="1"/>
        <rFont val="Calibri"/>
        <family val="2"/>
        <scheme val="minor"/>
      </rPr>
      <t>Ensure that all actions are accurately recorded in the GEMA/SPARK system.</t>
    </r>
  </si>
  <si>
    <t xml:space="preserve"> T06      </t>
  </si>
  <si>
    <r>
      <rPr>
        <b/>
        <sz val="11"/>
        <color theme="1"/>
        <rFont val="Calibri"/>
        <family val="2"/>
        <scheme val="minor"/>
      </rPr>
      <t xml:space="preserve">Adherence to Customer Agreements: </t>
    </r>
    <r>
      <rPr>
        <sz val="11"/>
        <color theme="1"/>
        <rFont val="Calibri"/>
        <family val="2"/>
        <scheme val="minor"/>
      </rPr>
      <t>Verify that CS Advisors are setting callback times based on the specific agreements made with customers, ensuring that these times are accurately documented in GEMA/SPARK.</t>
    </r>
  </si>
  <si>
    <r>
      <rPr>
        <b/>
        <sz val="11"/>
        <color theme="1"/>
        <rFont val="Calibri"/>
        <family val="2"/>
        <scheme val="minor"/>
      </rPr>
      <t xml:space="preserve">Callback Performance Monitoring: </t>
    </r>
    <r>
      <rPr>
        <sz val="11"/>
        <color theme="1"/>
        <rFont val="Calibri"/>
        <family val="2"/>
        <scheme val="minor"/>
      </rPr>
      <t>Confirm that the BL team is executing callbacks within the agreed timeframe. This includes checking logs and records to ensure compliance with the established callback times.</t>
    </r>
  </si>
  <si>
    <r>
      <rPr>
        <b/>
        <sz val="11"/>
        <color theme="1"/>
        <rFont val="Calibri"/>
        <family val="2"/>
        <scheme val="minor"/>
      </rPr>
      <t xml:space="preserve">Daily Performance Reviews: </t>
    </r>
    <r>
      <rPr>
        <sz val="11"/>
        <color theme="1"/>
        <rFont val="Calibri"/>
        <family val="2"/>
        <scheme val="minor"/>
      </rPr>
      <t>Ensure that Supervisors/Managers conduct daily reviews of callback performance, analyzing the adherence to agreed callback times and identifying any failures in the process.</t>
    </r>
  </si>
  <si>
    <r>
      <rPr>
        <b/>
        <sz val="11"/>
        <color theme="1"/>
        <rFont val="Calibri"/>
        <family val="2"/>
        <scheme val="minor"/>
      </rPr>
      <t xml:space="preserve">Follow-Up on Callback Failures: </t>
    </r>
    <r>
      <rPr>
        <sz val="11"/>
        <color theme="1"/>
        <rFont val="Calibri"/>
        <family val="2"/>
        <scheme val="minor"/>
      </rPr>
      <t>Verify that any instances of callback failures are followed up promptly by Supervisors/Managers. This includes checking records of follow-up actions taken and ensuring that appropriate coaching is provided to the individual Customer Service Advisors involved.</t>
    </r>
  </si>
  <si>
    <r>
      <rPr>
        <b/>
        <sz val="11"/>
        <color theme="1"/>
        <rFont val="Calibri"/>
        <family val="2"/>
        <scheme val="minor"/>
      </rPr>
      <t>Coaching and Development:</t>
    </r>
    <r>
      <rPr>
        <sz val="11"/>
        <color theme="1"/>
        <rFont val="Calibri"/>
        <family val="2"/>
        <scheme val="minor"/>
      </rPr>
      <t xml:space="preserve"> Confirm that coaching sessions are being conducted with CS Advisors following any callback failures, focusing on areas for improvement and adherence to customer agreements.</t>
    </r>
  </si>
  <si>
    <t xml:space="preserve"> T07      </t>
  </si>
  <si>
    <r>
      <rPr>
        <b/>
        <sz val="11"/>
        <color theme="1"/>
        <rFont val="Calibri"/>
        <family val="2"/>
        <scheme val="minor"/>
      </rPr>
      <t>Adherence to Global SOP and Local Agreements:</t>
    </r>
    <r>
      <rPr>
        <sz val="11"/>
        <color theme="1"/>
        <rFont val="Calibri"/>
        <family val="2"/>
        <scheme val="minor"/>
      </rPr>
      <t xml:space="preserve"> Verify that Customer Service Advisors consistently follow the Global SOP Standard Claim and Complaint Handling Procedures, as well as any relevant local cross-functional Service Level Agreements.</t>
    </r>
  </si>
  <si>
    <r>
      <rPr>
        <b/>
        <sz val="11"/>
        <color theme="1"/>
        <rFont val="Calibri"/>
        <family val="2"/>
        <scheme val="minor"/>
      </rPr>
      <t xml:space="preserve">Response Time Monitoring: </t>
    </r>
    <r>
      <rPr>
        <sz val="11"/>
        <color theme="1"/>
        <rFont val="Calibri"/>
        <family val="2"/>
        <scheme val="minor"/>
      </rPr>
      <t>Confirm that the response time to customers aligns with the agreed callback commitments, ensuring feedback is provided within the specified timeframe (e.g., daily, next business day).</t>
    </r>
  </si>
  <si>
    <r>
      <rPr>
        <b/>
        <sz val="11"/>
        <color theme="1"/>
        <rFont val="Calibri"/>
        <family val="2"/>
        <scheme val="minor"/>
      </rPr>
      <t xml:space="preserve">Accurate Verbiage Usage: </t>
    </r>
    <r>
      <rPr>
        <sz val="11"/>
        <color theme="1"/>
        <rFont val="Calibri"/>
        <family val="2"/>
        <scheme val="minor"/>
      </rPr>
      <t>Ensure that the language used by Customer Service Advisors accurately reflects the specific Case Type being handled, maintaining clarity and consistency in communication.</t>
    </r>
  </si>
  <si>
    <r>
      <rPr>
        <b/>
        <sz val="11"/>
        <color theme="1"/>
        <rFont val="Calibri"/>
        <family val="2"/>
        <scheme val="minor"/>
      </rPr>
      <t xml:space="preserve">Documentation Compliance: </t>
    </r>
    <r>
      <rPr>
        <sz val="11"/>
        <color theme="1"/>
        <rFont val="Calibri"/>
        <family val="2"/>
        <scheme val="minor"/>
      </rPr>
      <t>Verify that all relevant documentation, such as customer correspondence and damage reports, is uploaded into GEMA/SPARK as attachments, ensuring compliance with GDPR regulations.</t>
    </r>
  </si>
  <si>
    <r>
      <rPr>
        <b/>
        <sz val="11"/>
        <color theme="1"/>
        <rFont val="Calibri"/>
        <family val="2"/>
        <scheme val="minor"/>
      </rPr>
      <t xml:space="preserve">Action Recording: </t>
    </r>
    <r>
      <rPr>
        <sz val="11"/>
        <color theme="1"/>
        <rFont val="Calibri"/>
        <family val="2"/>
        <scheme val="minor"/>
      </rPr>
      <t>Confirm that all actions taken regarding claims are accurately recorded in the GEMA/SPARK system for transparency and accountability.</t>
    </r>
  </si>
  <si>
    <t xml:space="preserve"> T08      </t>
  </si>
  <si>
    <r>
      <rPr>
        <b/>
        <sz val="11"/>
        <color theme="1"/>
        <rFont val="Calibri"/>
        <family val="2"/>
        <scheme val="minor"/>
      </rPr>
      <t xml:space="preserve">Adherence to Global SOP and Local Agreements: </t>
    </r>
    <r>
      <rPr>
        <sz val="11"/>
        <color theme="1"/>
        <rFont val="Calibri"/>
        <family val="2"/>
        <scheme val="minor"/>
      </rPr>
      <t>Verify that Customer Service Advisors consistently follow the Global SOP Standard Claim and Complaint Handling Procedures and the Global SOP Service Recovery Reference Guide, along with any applicable local cross-functional Service Level Agreements.</t>
    </r>
  </si>
  <si>
    <r>
      <rPr>
        <b/>
        <sz val="11"/>
        <color theme="1"/>
        <rFont val="Calibri"/>
        <family val="2"/>
        <scheme val="minor"/>
      </rPr>
      <t xml:space="preserve">Accurate Verbiage Usage: </t>
    </r>
    <r>
      <rPr>
        <sz val="11"/>
        <color theme="1"/>
        <rFont val="Calibri"/>
        <family val="2"/>
        <scheme val="minor"/>
      </rPr>
      <t>Ensure that the language used by CS Advisors accurately reflects the specific Case Type being handled, maintaining clarity and consistency in communication.</t>
    </r>
  </si>
  <si>
    <r>
      <rPr>
        <b/>
        <sz val="11"/>
        <color theme="1"/>
        <rFont val="Calibri"/>
        <family val="2"/>
        <scheme val="minor"/>
      </rPr>
      <t xml:space="preserve">Action Recording: </t>
    </r>
    <r>
      <rPr>
        <sz val="11"/>
        <color theme="1"/>
        <rFont val="Calibri"/>
        <family val="2"/>
        <scheme val="minor"/>
      </rPr>
      <t>Confirm that all actions taken regarding complaints are accurately recorded in the GEMA/SPARK system for transparency and accountability.</t>
    </r>
  </si>
  <si>
    <t xml:space="preserve"> T09      </t>
  </si>
  <si>
    <r>
      <rPr>
        <b/>
        <sz val="11"/>
        <color theme="1"/>
        <rFont val="Calibri"/>
        <family val="2"/>
        <scheme val="minor"/>
      </rPr>
      <t xml:space="preserve">Matrix Availability and Accessibility: </t>
    </r>
    <r>
      <rPr>
        <sz val="11"/>
        <color theme="1"/>
        <rFont val="Calibri"/>
        <family val="2"/>
        <scheme val="minor"/>
      </rPr>
      <t>Verification will be conducted to ensure that the empowerment matrix is documented and accessible to all Customer Service staff. This will include checking that it is readily available on the internal platform/s and that staff members can easily locate it.</t>
    </r>
  </si>
  <si>
    <r>
      <rPr>
        <b/>
        <sz val="11"/>
        <color theme="1"/>
        <rFont val="Calibri"/>
        <family val="2"/>
        <scheme val="minor"/>
      </rPr>
      <t>Understanding of the Empowerment Matrix:</t>
    </r>
    <r>
      <rPr>
        <sz val="11"/>
        <color theme="1"/>
        <rFont val="Calibri"/>
        <family val="2"/>
        <scheme val="minor"/>
      </rPr>
      <t xml:space="preserve"> Verification will be conducted to confirm that Customer Service staff can accurately explain the empowerment matrix and its application in decision-making processes.</t>
    </r>
  </si>
  <si>
    <r>
      <rPr>
        <b/>
        <sz val="11"/>
        <color theme="1"/>
        <rFont val="Calibri"/>
        <family val="2"/>
        <scheme val="minor"/>
      </rPr>
      <t>Consistency with Governance Guidelines</t>
    </r>
    <r>
      <rPr>
        <sz val="11"/>
        <color theme="1"/>
        <rFont val="Calibri"/>
        <family val="2"/>
        <scheme val="minor"/>
      </rPr>
      <t>: The empowerment matrix will be reviewed to ensure it aligns with the Delegation of Authority Guidelines (DOAG) and the Gift and Hospitality Policy. This review will include cross-referencing the matrix with these guidelines to confirm adherence to comprehensive governance standards.</t>
    </r>
  </si>
  <si>
    <r>
      <rPr>
        <b/>
        <sz val="11"/>
        <color theme="1"/>
        <rFont val="Calibri"/>
        <family val="2"/>
        <scheme val="minor"/>
      </rPr>
      <t>Endorsement Verification:</t>
    </r>
    <r>
      <rPr>
        <sz val="11"/>
        <color theme="1"/>
        <rFont val="Calibri"/>
        <family val="2"/>
        <scheme val="minor"/>
      </rPr>
      <t xml:space="preserve"> Documentation (i.e. DOAG, empowerment matrix) will be checked to confirm that the empowerment matrix has been properly endorsed by the country manager or compliance officer, ensuring that it has received the necessary approvals for implementation.</t>
    </r>
  </si>
  <si>
    <r>
      <rPr>
        <b/>
        <sz val="11"/>
        <color theme="1"/>
        <rFont val="Calibri"/>
        <family val="2"/>
        <scheme val="minor"/>
      </rPr>
      <t xml:space="preserve">Monitoring of Empowerment Usage: </t>
    </r>
    <r>
      <rPr>
        <sz val="11"/>
        <color theme="1"/>
        <rFont val="Calibri"/>
        <family val="2"/>
        <scheme val="minor"/>
      </rPr>
      <t>Reports will be generated to analyze instances where staff have utilized their empowerment to resolve customer issues, assessing whether the decisions made align with the guidelines outlined in the empowerment matrix.</t>
    </r>
  </si>
  <si>
    <t xml:space="preserve"> T10      </t>
  </si>
  <si>
    <r>
      <rPr>
        <b/>
        <sz val="11"/>
        <color theme="1"/>
        <rFont val="Calibri"/>
        <family val="2"/>
        <scheme val="minor"/>
      </rPr>
      <t xml:space="preserve">Storage and Usage Verification: </t>
    </r>
    <r>
      <rPr>
        <sz val="11"/>
        <color theme="1"/>
        <rFont val="Calibri"/>
        <family val="2"/>
        <scheme val="minor"/>
      </rPr>
      <t>A review will be conducted in GEMA/SPARK, MCT, or any other approved tools to verify that standard letters frequently used by the Customer Service team are properly stored and utilized according to established guidelines. This will involve checking for the presence of these letters in the designated locations and ensuring they are accessible to all relevant staff.</t>
    </r>
  </si>
  <si>
    <r>
      <rPr>
        <b/>
        <sz val="11"/>
        <color theme="1"/>
        <rFont val="Calibri"/>
        <family val="2"/>
        <scheme val="minor"/>
      </rPr>
      <t xml:space="preserve">Content Approval Confirmation: </t>
    </r>
    <r>
      <rPr>
        <sz val="11"/>
        <color theme="1"/>
        <rFont val="Calibri"/>
        <family val="2"/>
        <scheme val="minor"/>
      </rPr>
      <t>Documentation will be examined to confirm that the content of the standard letters has been approved by either the Legal, Finance, and/or Marketing departments, ensuring compliance with organizational policies and local regulations. This verification will include checking for records of approval and ensuring that these reviews occur at least once every two years.</t>
    </r>
  </si>
  <si>
    <r>
      <rPr>
        <b/>
        <sz val="11"/>
        <color theme="1"/>
        <rFont val="Calibri"/>
        <family val="2"/>
        <scheme val="minor"/>
      </rPr>
      <t>Audit of Usage Compliance:</t>
    </r>
    <r>
      <rPr>
        <sz val="11"/>
        <color theme="1"/>
        <rFont val="Calibri"/>
        <family val="2"/>
        <scheme val="minor"/>
      </rPr>
      <t xml:space="preserve"> An audit will be performed to assess whether the standard letters are being used consistently and appropriately in customer communications. This will involve sampling customer interactions to ensure that the correct letters are employed in relevant scenarios.</t>
    </r>
  </si>
  <si>
    <t xml:space="preserve"> T11      </t>
  </si>
  <si>
    <r>
      <rPr>
        <b/>
        <sz val="11"/>
        <color theme="1"/>
        <rFont val="Calibri"/>
        <family val="2"/>
        <scheme val="minor"/>
      </rPr>
      <t>Implementation and Usage Audit:</t>
    </r>
    <r>
      <rPr>
        <sz val="11"/>
        <color theme="1"/>
        <rFont val="Calibri"/>
        <family val="2"/>
        <scheme val="minor"/>
      </rPr>
      <t xml:space="preserve"> Regular audits will be conducted to verify that the GEMA/SPARK approval process is fully implemented and consistently used for all compensation approvals within the Customer Service team. This will involve reviewing transaction records to ensure that all compensation payments are processed through the approved system.</t>
    </r>
  </si>
  <si>
    <r>
      <rPr>
        <b/>
        <sz val="11"/>
        <color theme="1"/>
        <rFont val="Calibri"/>
        <family val="2"/>
        <scheme val="minor"/>
      </rPr>
      <t xml:space="preserve">Email and Paper Form Monitoring: </t>
    </r>
    <r>
      <rPr>
        <sz val="11"/>
        <color theme="1"/>
        <rFont val="Calibri"/>
        <family val="2"/>
        <scheme val="minor"/>
      </rPr>
      <t>A review will be performed to confirm that no approval emails or signed paper forms are being utilized for compensation payments within Customer Service. This will include monitoring communication channels and documentation practices to ensure compliance with the established rule.</t>
    </r>
  </si>
  <si>
    <r>
      <rPr>
        <b/>
        <sz val="11"/>
        <color theme="1"/>
        <rFont val="Calibri"/>
        <family val="2"/>
        <scheme val="minor"/>
      </rPr>
      <t xml:space="preserve">Exceptions Documentation Review: </t>
    </r>
    <r>
      <rPr>
        <sz val="11"/>
        <color theme="1"/>
        <rFont val="Calibri"/>
        <family val="2"/>
        <scheme val="minor"/>
      </rPr>
      <t>In instances where the GEMA/SPARK approval process cannot be used due to legal requirements, the Customer Service team will be required to highlight these exceptions to the Regional Team. Verification will include checking the COE Performance Chart to ensure that all legal requirements are properly documented in the ‘Observations’ Column, along with explanations for why the standard process could not be followed.</t>
    </r>
  </si>
  <si>
    <t xml:space="preserve"> T12      </t>
  </si>
  <si>
    <r>
      <rPr>
        <b/>
        <sz val="11"/>
        <color theme="1"/>
        <rFont val="Calibri"/>
        <family val="2"/>
        <scheme val="minor"/>
      </rPr>
      <t>Monitoring Process Review:</t>
    </r>
    <r>
      <rPr>
        <sz val="11"/>
        <color theme="1"/>
        <rFont val="Calibri"/>
        <family val="2"/>
        <scheme val="minor"/>
      </rPr>
      <t xml:space="preserve"> Regular audits will be conducted to confirm that customers' shipments are actively monitored through KART. This includes checking that proactive traces are automatically created in the system when specific criteria are not met, as defined in the reporting settings.</t>
    </r>
  </si>
  <si>
    <r>
      <rPr>
        <b/>
        <sz val="11"/>
        <color theme="1"/>
        <rFont val="Calibri"/>
        <family val="2"/>
        <scheme val="minor"/>
      </rPr>
      <t>Criteria Compliance Checks:</t>
    </r>
    <r>
      <rPr>
        <sz val="11"/>
        <color theme="1"/>
        <rFont val="Calibri"/>
        <family val="2"/>
        <scheme val="minor"/>
      </rPr>
      <t xml:space="preserve">
•Verification will involve reviewing shipment records to ensure that the following criteria are being monitored:
•Shipment records without a completion scan after the Estimated Delivery Date (EDD) plus the configured number of days.
•Shipment records where selected checkpoints have been scanned, but the shipment is still marked as incomplete.
•Shipment records that have not been delivered for more than the configured number of hours after the latest checkpoint has been scanned.</t>
    </r>
  </si>
  <si>
    <r>
      <rPr>
        <b/>
        <sz val="11"/>
        <color theme="1"/>
        <rFont val="Calibri"/>
        <family val="2"/>
        <scheme val="minor"/>
      </rPr>
      <t>Daily Reporting for Time-Sensitive Shipments:</t>
    </r>
    <r>
      <rPr>
        <sz val="11"/>
        <color theme="1"/>
        <rFont val="Calibri"/>
        <family val="2"/>
        <scheme val="minor"/>
      </rPr>
      <t xml:space="preserve"> The KAD team’s use of daily reporting via KART for time-sensitive shipments (e.g., Express 9:00, Express 10:30, Medical Express) will be monitored to ensure that these shipments are being closely tracked. Verification will include checking records of customer notifications when shipments are identified as being in distress, ensuring that communication is conducted as per customer requirements.</t>
    </r>
  </si>
  <si>
    <r>
      <rPr>
        <b/>
        <sz val="11"/>
        <color theme="1"/>
        <rFont val="Calibri"/>
        <family val="2"/>
        <scheme val="minor"/>
      </rPr>
      <t xml:space="preserve">Alignment with Nomination Form Standards: </t>
    </r>
    <r>
      <rPr>
        <sz val="11"/>
        <color theme="1"/>
        <rFont val="Calibri"/>
        <family val="2"/>
        <scheme val="minor"/>
      </rPr>
      <t>A review will be conducted to ensure that the KART configuration for each customer aligns with the standards defined in the Nomination Form. This will involve cross-referencing the configuration settings against the established guidelines to confirm compliance.</t>
    </r>
  </si>
  <si>
    <t xml:space="preserve"> T13      </t>
  </si>
  <si>
    <r>
      <rPr>
        <b/>
        <sz val="11"/>
        <color theme="1"/>
        <rFont val="Calibri"/>
        <family val="2"/>
        <scheme val="minor"/>
      </rPr>
      <t xml:space="preserve">Use Case Verification: </t>
    </r>
    <r>
      <rPr>
        <sz val="11"/>
        <color theme="1"/>
        <rFont val="Calibri"/>
        <family val="2"/>
        <scheme val="minor"/>
      </rPr>
      <t>A review will be conducted to confirm that the GVA is fully operational in the country and effectively covers four or more defined use cases. This will involve checking documentation and system configurations to ensure the tool is deployed as specified.</t>
    </r>
  </si>
  <si>
    <r>
      <rPr>
        <b/>
        <sz val="11"/>
        <color theme="1"/>
        <rFont val="Calibri"/>
        <family val="2"/>
        <scheme val="minor"/>
      </rPr>
      <t xml:space="preserve">Reporting and Analysis Review: </t>
    </r>
    <r>
      <rPr>
        <sz val="11"/>
        <color theme="1"/>
        <rFont val="Calibri"/>
        <family val="2"/>
        <scheme val="minor"/>
      </rPr>
      <t>The CSD manager, or another delegated individual, will be required to present usage reporting and analysis of the GVA’s performance. Verification will include examining the reports generated to assess the frequency and depth of the analysis conducted. It is recommended that countries conduct the reporting and analysis at least monthly, however, countries can use their judgment to conduct this more frequently.</t>
    </r>
  </si>
  <si>
    <r>
      <rPr>
        <b/>
        <sz val="11"/>
        <color theme="1"/>
        <rFont val="Calibri"/>
        <family val="2"/>
        <scheme val="minor"/>
      </rPr>
      <t xml:space="preserve">Evidence of Improvement Actions: </t>
    </r>
    <r>
      <rPr>
        <sz val="11"/>
        <color theme="1"/>
        <rFont val="Calibri"/>
        <family val="2"/>
        <scheme val="minor"/>
      </rPr>
      <t>Documentation will be reviewed to provide evidence of actions taken to enhance the efficacy of the GVA based on the analysis. This will involve checking records of any updates, or modifications, as a result of the findings from the usage reports.</t>
    </r>
  </si>
  <si>
    <t xml:space="preserve"> T14      </t>
  </si>
  <si>
    <r>
      <rPr>
        <b/>
        <sz val="11"/>
        <color theme="1"/>
        <rFont val="Calibri"/>
        <family val="2"/>
        <scheme val="minor"/>
      </rPr>
      <t xml:space="preserve">Documentation Review: </t>
    </r>
    <r>
      <rPr>
        <sz val="11"/>
        <color theme="1"/>
        <rFont val="Calibri"/>
        <family val="2"/>
        <scheme val="minor"/>
      </rPr>
      <t>The call flow documentation and Functional Design Specification (FDS), if applicable, will be reviewed in collaboration with the Customer Service management team. This review will ensure that the documentation is accurate, up-to-date, and includes correct timings and scripts. The management team should be able to explain the contents clearly.</t>
    </r>
  </si>
  <si>
    <r>
      <rPr>
        <b/>
        <sz val="11"/>
        <color theme="1"/>
        <rFont val="Calibri"/>
        <family val="2"/>
        <scheme val="minor"/>
      </rPr>
      <t xml:space="preserve">Contact Centre Platform Programming Verification: </t>
    </r>
    <r>
      <rPr>
        <sz val="11"/>
        <color theme="1"/>
        <rFont val="Calibri"/>
        <family val="2"/>
        <scheme val="minor"/>
      </rPr>
      <t>Verification will be conducted with the support vendor responsible for programming to confirm that the Contact Centre Platform is programmed to allow for auto answer and auto disconnect. This means that no button needs to be pressed to accept or close a call.</t>
    </r>
  </si>
  <si>
    <r>
      <rPr>
        <b/>
        <sz val="11"/>
        <color theme="1"/>
        <rFont val="Calibri"/>
        <family val="2"/>
        <scheme val="minor"/>
      </rPr>
      <t>Call Overflow Functionality Testing:</t>
    </r>
    <r>
      <rPr>
        <sz val="11"/>
        <color theme="1"/>
        <rFont val="Calibri"/>
        <family val="2"/>
        <scheme val="minor"/>
      </rPr>
      <t xml:space="preserve"> The call overflow functionality will be verified by testing the call flows when the administered thresholds of key indicators are exceeded, including testing in contingency mode to ensure reliability during high call volumes.</t>
    </r>
  </si>
  <si>
    <r>
      <rPr>
        <b/>
        <sz val="11"/>
        <color theme="1"/>
        <rFont val="Calibri"/>
        <family val="2"/>
        <scheme val="minor"/>
      </rPr>
      <t xml:space="preserve">Queue Messaging and Music On Hold Verification: </t>
    </r>
    <r>
      <rPr>
        <sz val="11"/>
        <color theme="1"/>
        <rFont val="Calibri"/>
        <family val="2"/>
        <scheme val="minor"/>
      </rPr>
      <t>A test call will be placed on hold to listen to the Queue messaging and Music On Hold announcements, ensuring that the messaging is appropriate and functioning as intended.</t>
    </r>
  </si>
  <si>
    <r>
      <rPr>
        <b/>
        <sz val="11"/>
        <color theme="1"/>
        <rFont val="Calibri"/>
        <family val="2"/>
        <scheme val="minor"/>
      </rPr>
      <t xml:space="preserve">Telephony Setup Functionality Testing: </t>
    </r>
    <r>
      <rPr>
        <sz val="11"/>
        <color theme="1"/>
        <rFont val="Calibri"/>
        <family val="2"/>
        <scheme val="minor"/>
      </rPr>
      <t>The overall telephony setup will be tested through side-by-side observations, live monitoring of service, Quality Management (QM) monitors, and CMS/IQ/SKPI reporting, if applicable, to ensure all components are working correctly.</t>
    </r>
  </si>
  <si>
    <t xml:space="preserve"> T15      </t>
  </si>
  <si>
    <r>
      <rPr>
        <b/>
        <sz val="11"/>
        <color theme="1"/>
        <rFont val="Calibri"/>
        <family val="2"/>
        <scheme val="minor"/>
      </rPr>
      <t xml:space="preserve">IVR Design Review: </t>
    </r>
    <r>
      <rPr>
        <sz val="11"/>
        <color theme="1"/>
        <rFont val="Calibri"/>
        <family val="2"/>
        <scheme val="minor"/>
      </rPr>
      <t>Confirm that the IVR is designed to answer calls directly, maximizing automation opportunities and the likelihood of automated resolutions.</t>
    </r>
  </si>
  <si>
    <r>
      <rPr>
        <b/>
        <sz val="11"/>
        <color theme="1"/>
        <rFont val="Calibri"/>
        <family val="2"/>
        <scheme val="minor"/>
      </rPr>
      <t>IVR Reporting Analysis:</t>
    </r>
    <r>
      <rPr>
        <sz val="11"/>
        <color theme="1"/>
        <rFont val="Calibri"/>
        <family val="2"/>
        <scheme val="minor"/>
      </rPr>
      <t xml:space="preserve">
•Analyze IVR reporting to review key metrics such as the take-up and abandonment rates, number of calls processed by the IVR, calls transferred to advisors, and abandoned calls. Identify actions for improvement based on this data. It is recommended that countries conduct the reporting and analysis at least monthly, however, countries can use their judgment to conduct this more frequently.
•Additionally, there should be evidence that a regular review of the list of enabled and disabled accounts is conducted, as well as the Speed Booking flag, to ensure that all configurations are up to date and functioning as intended.</t>
    </r>
  </si>
  <si>
    <r>
      <rPr>
        <b/>
        <sz val="11"/>
        <color theme="1"/>
        <rFont val="Calibri"/>
        <family val="2"/>
        <scheme val="minor"/>
      </rPr>
      <t>Advisor Access Testing:</t>
    </r>
    <r>
      <rPr>
        <sz val="11"/>
        <color theme="1"/>
        <rFont val="Calibri"/>
        <family val="2"/>
        <scheme val="minor"/>
      </rPr>
      <t xml:space="preserve"> Test the functionality that allows customers to reach an advisor at any point in the IVR. This will include placing test calls from various menu areas and using touch-tone options (e.g., “0”) to verify that calls are successfully transferred to a live representative.</t>
    </r>
  </si>
  <si>
    <r>
      <rPr>
        <b/>
        <sz val="11"/>
        <color theme="1"/>
        <rFont val="Calibri"/>
        <family val="2"/>
        <scheme val="minor"/>
      </rPr>
      <t xml:space="preserve">CTI Integration Verification: </t>
    </r>
    <r>
      <rPr>
        <sz val="11"/>
        <color theme="1"/>
        <rFont val="Calibri"/>
        <family val="2"/>
        <scheme val="minor"/>
      </rPr>
      <t>If Computer Telephony Integration (CTI) is used, verify that customer information entered in the IVR is accurately transferred to the advisor’s screen upon call transfer.</t>
    </r>
  </si>
  <si>
    <r>
      <rPr>
        <b/>
        <sz val="11"/>
        <color theme="1"/>
        <rFont val="Calibri"/>
        <family val="2"/>
        <scheme val="minor"/>
      </rPr>
      <t xml:space="preserve">Key Path Testing: </t>
    </r>
    <r>
      <rPr>
        <sz val="11"/>
        <color theme="1"/>
        <rFont val="Calibri"/>
        <family val="2"/>
        <scheme val="minor"/>
      </rPr>
      <t>Conduct test calls to the IVR to ensure all key paths and menu options function correctly, testing both speech recognition and touch-tone inputs.</t>
    </r>
  </si>
  <si>
    <r>
      <rPr>
        <b/>
        <sz val="11"/>
        <color theme="1"/>
        <rFont val="Calibri"/>
        <family val="2"/>
        <scheme val="minor"/>
      </rPr>
      <t xml:space="preserve">AWB Loop Testing: </t>
    </r>
    <r>
      <rPr>
        <sz val="11"/>
        <color theme="1"/>
        <rFont val="Calibri"/>
        <family val="2"/>
        <scheme val="minor"/>
      </rPr>
      <t>Place test calls to the IVR using invalid Air Waybill (AWB) numbers to verify that the system prompts for retries twice before transferring the call to an advisor.</t>
    </r>
  </si>
  <si>
    <r>
      <rPr>
        <b/>
        <sz val="11"/>
        <color theme="1"/>
        <rFont val="Calibri"/>
        <family val="2"/>
        <scheme val="minor"/>
      </rPr>
      <t xml:space="preserve">Contingency Plan Review: </t>
    </r>
    <r>
      <rPr>
        <sz val="11"/>
        <color theme="1"/>
        <rFont val="Calibri"/>
        <family val="2"/>
        <scheme val="minor"/>
      </rPr>
      <t>Ensure that an IVR Contingency Plan is in place, detailing call routing options in the event of an IVR or application issue, including emergency announcements and alternate routing procedures.</t>
    </r>
  </si>
  <si>
    <t xml:space="preserve"> T16      </t>
  </si>
  <si>
    <r>
      <rPr>
        <b/>
        <sz val="11"/>
        <color theme="1"/>
        <rFont val="Calibri"/>
        <family val="2"/>
        <scheme val="minor"/>
      </rPr>
      <t>Menu Functionality Testing:</t>
    </r>
    <r>
      <rPr>
        <sz val="11"/>
        <color theme="1"/>
        <rFont val="Calibri"/>
        <family val="2"/>
        <scheme val="minor"/>
      </rPr>
      <t xml:space="preserve"> Confirm that the AA prompts callers to respond to menu choices by entering digits on their telephone, and that calls are routed based on the selected options. This will include verifying the presence of language selection at the beginning, a maximum of three layers and five options, DHL branding, repeat functionality, and the option to speak to a representative (not counted as a menu option).</t>
    </r>
  </si>
  <si>
    <r>
      <rPr>
        <b/>
        <sz val="11"/>
        <color theme="1"/>
        <rFont val="Calibri"/>
        <family val="2"/>
        <scheme val="minor"/>
      </rPr>
      <t xml:space="preserve">Timeout and Retry Verification: </t>
    </r>
    <r>
      <rPr>
        <sz val="11"/>
        <color theme="1"/>
        <rFont val="Calibri"/>
        <family val="2"/>
        <scheme val="minor"/>
      </rPr>
      <t>Test the timeout and retries feature to ensure that if input is not recognized or received, the AA repeats the menu options appropriately.</t>
    </r>
  </si>
  <si>
    <r>
      <rPr>
        <b/>
        <sz val="11"/>
        <color theme="1"/>
        <rFont val="Calibri"/>
        <family val="2"/>
        <scheme val="minor"/>
      </rPr>
      <t xml:space="preserve">Skills-Based Routing Confirmation: </t>
    </r>
    <r>
      <rPr>
        <sz val="11"/>
        <color theme="1"/>
        <rFont val="Calibri"/>
        <family val="2"/>
        <scheme val="minor"/>
      </rPr>
      <t>Verify with the support vendor responsible for system programming that skills-based routing is correctly programmed to align with the AA options, ensuring calls are directed to the appropriate personnel.</t>
    </r>
  </si>
  <si>
    <r>
      <rPr>
        <b/>
        <sz val="11"/>
        <color theme="1"/>
        <rFont val="Calibri"/>
        <family val="2"/>
        <scheme val="minor"/>
      </rPr>
      <t>Time-of-Day Routing Testing:</t>
    </r>
    <r>
      <rPr>
        <sz val="11"/>
        <color theme="1"/>
        <rFont val="Calibri"/>
        <family val="2"/>
        <scheme val="minor"/>
      </rPr>
      <t xml:space="preserve"> Conduct tests during both business hours and after hours to confirm that the AA correctly implements time-of-day routing and delivers appropriate after-hours messaging.</t>
    </r>
  </si>
  <si>
    <r>
      <rPr>
        <b/>
        <sz val="11"/>
        <color theme="1"/>
        <rFont val="Calibri"/>
        <family val="2"/>
        <scheme val="minor"/>
      </rPr>
      <t xml:space="preserve">Queue Messaging and Music On Hold Testing: </t>
    </r>
    <r>
      <rPr>
        <sz val="11"/>
        <color theme="1"/>
        <rFont val="Calibri"/>
        <family val="2"/>
        <scheme val="minor"/>
      </rPr>
      <t>Place a test call on hold to listen to the Queue messaging and Music On Hold announcements, verifying that the messaging is appropriate and functioning as intended.</t>
    </r>
  </si>
  <si>
    <r>
      <rPr>
        <b/>
        <sz val="11"/>
        <color theme="1"/>
        <rFont val="Calibri"/>
        <family val="2"/>
        <scheme val="minor"/>
      </rPr>
      <t>Contingency Plan Review:</t>
    </r>
    <r>
      <rPr>
        <sz val="11"/>
        <color theme="1"/>
        <rFont val="Calibri"/>
        <family val="2"/>
        <scheme val="minor"/>
      </rPr>
      <t xml:space="preserve"> Ensure that an AA Contingency Plan is in place, detailing procedures for emergency announcements and alternate routing options in the event of system failures.</t>
    </r>
  </si>
  <si>
    <t xml:space="preserve"> M01      </t>
  </si>
  <si>
    <r>
      <rPr>
        <b/>
        <sz val="11"/>
        <color theme="1"/>
        <rFont val="Calibri"/>
        <family val="2"/>
        <scheme val="minor"/>
      </rPr>
      <t>Data Extraction Review:</t>
    </r>
    <r>
      <rPr>
        <sz val="11"/>
        <color theme="1"/>
        <rFont val="Calibri"/>
        <family val="2"/>
        <scheme val="minor"/>
      </rPr>
      <t xml:space="preserve"> Confirmation will be made that data is extracted from the COMBINE system for Traces, Claims, and Complaints on a monthly basis, ensuring accurate and timely reporting.</t>
    </r>
  </si>
  <si>
    <r>
      <rPr>
        <b/>
        <sz val="11"/>
        <color theme="1"/>
        <rFont val="Calibri"/>
        <family val="2"/>
        <scheme val="minor"/>
      </rPr>
      <t xml:space="preserve">Meeting Documentation: </t>
    </r>
    <r>
      <rPr>
        <sz val="11"/>
        <color theme="1"/>
        <rFont val="Calibri"/>
        <family val="2"/>
        <scheme val="minor"/>
      </rPr>
      <t>The volume and issues identified will be presented and discussed during the monthly Senior Management Team Meeting (or VOICE meeting) with relevant stakeholders, including process owners and departments within individual countries or across the network. Meeting minutes will be reviewed to verify discussions and decisions made.</t>
    </r>
  </si>
  <si>
    <r>
      <rPr>
        <b/>
        <sz val="11"/>
        <color theme="1"/>
        <rFont val="Calibri"/>
        <family val="2"/>
        <scheme val="minor"/>
      </rPr>
      <t xml:space="preserve">Root Cause Analysis Verification: </t>
    </r>
    <r>
      <rPr>
        <sz val="11"/>
        <color theme="1"/>
        <rFont val="Calibri"/>
        <family val="2"/>
        <scheme val="minor"/>
      </rPr>
      <t>Relevant sections will be responsible for conducting further analysis to identify root causes. Documentation of this analysis will be reviewed to ensure thorough investigation and accountability.</t>
    </r>
  </si>
  <si>
    <r>
      <rPr>
        <b/>
        <sz val="11"/>
        <color theme="1"/>
        <rFont val="Calibri"/>
        <family val="2"/>
        <scheme val="minor"/>
      </rPr>
      <t xml:space="preserve">Action Plan Development: </t>
    </r>
    <r>
      <rPr>
        <sz val="11"/>
        <color theme="1"/>
        <rFont val="Calibri"/>
        <family val="2"/>
        <scheme val="minor"/>
      </rPr>
      <t>Specific targets for rectifying shipment incidents will be established, and action plans will be developed and prioritized by stakeholders, including timelines for implementation. Verification will involve checking that these action plans are documented and accessible.</t>
    </r>
  </si>
  <si>
    <r>
      <rPr>
        <b/>
        <sz val="11"/>
        <color theme="1"/>
        <rFont val="Calibri"/>
        <family val="2"/>
        <scheme val="minor"/>
      </rPr>
      <t xml:space="preserve">Follow-Up Actions Review: </t>
    </r>
    <r>
      <rPr>
        <sz val="11"/>
        <color theme="1"/>
        <rFont val="Calibri"/>
        <family val="2"/>
        <scheme val="minor"/>
      </rPr>
      <t>Follow-up actions will be monitored to ensure that agreed improvement plans are effective. Documentation will be reviewed to verify that actions are taken if there is no positive trend in shipment incidents or failures.</t>
    </r>
  </si>
  <si>
    <r>
      <rPr>
        <b/>
        <sz val="11"/>
        <color theme="1"/>
        <rFont val="Calibri"/>
        <family val="2"/>
        <scheme val="minor"/>
      </rPr>
      <t>Documentation of Action Plans:</t>
    </r>
    <r>
      <rPr>
        <sz val="11"/>
        <color theme="1"/>
        <rFont val="Calibri"/>
        <family val="2"/>
        <scheme val="minor"/>
      </rPr>
      <t xml:space="preserve"> All action plans, follow-up actions, responsible personnel, and pre/post results must be documented by relevant departments and stakeholders. This documentation will be reviewed for completeness and accuracy.</t>
    </r>
  </si>
  <si>
    <r>
      <rPr>
        <b/>
        <sz val="11"/>
        <color theme="1"/>
        <rFont val="Calibri"/>
        <family val="2"/>
        <scheme val="minor"/>
      </rPr>
      <t xml:space="preserve">Escalation Process Verification: </t>
    </r>
    <r>
      <rPr>
        <sz val="11"/>
        <color theme="1"/>
        <rFont val="Calibri"/>
        <family val="2"/>
        <scheme val="minor"/>
      </rPr>
      <t>The escalation process for repeated failures or negative trends will be verified, including the existence of conference calls with documented action items. Follow-up on these action items will be assessed for regularity and effectiveness.</t>
    </r>
  </si>
  <si>
    <r>
      <rPr>
        <b/>
        <sz val="11"/>
        <color theme="1"/>
        <rFont val="Calibri"/>
        <family val="2"/>
        <scheme val="minor"/>
      </rPr>
      <t xml:space="preserve">Report Availability Check: </t>
    </r>
    <r>
      <rPr>
        <sz val="11"/>
        <color theme="1"/>
        <rFont val="Calibri"/>
        <family val="2"/>
        <scheme val="minor"/>
      </rPr>
      <t>Monthly reports, meeting minutes, action plans, and records of escalations to other countries will be made available for review, covering the previous three months to ensure transparency and accountability.</t>
    </r>
  </si>
  <si>
    <t xml:space="preserve"> M02      </t>
  </si>
  <si>
    <r>
      <rPr>
        <b/>
        <sz val="11"/>
        <color theme="1"/>
        <rFont val="Calibri"/>
        <family val="2"/>
        <scheme val="minor"/>
      </rPr>
      <t xml:space="preserve">Access to VOICE: </t>
    </r>
    <r>
      <rPr>
        <sz val="11"/>
        <color theme="1"/>
        <rFont val="Calibri"/>
        <family val="2"/>
        <scheme val="minor"/>
      </rPr>
      <t>Confirm that the CS management team, including the CS Head, has access to the VOICE and can successfully navigate the system to read Voice of the Customer (VOC) feedback and review scores of transactions related to customer service throughout the customer journey.</t>
    </r>
  </si>
  <si>
    <r>
      <rPr>
        <b/>
        <sz val="11"/>
        <color theme="1"/>
        <rFont val="Calibri"/>
        <family val="2"/>
        <scheme val="minor"/>
      </rPr>
      <t xml:space="preserve">Identification of Topics: </t>
    </r>
    <r>
      <rPr>
        <sz val="11"/>
        <color theme="1"/>
        <rFont val="Calibri"/>
        <family val="2"/>
        <scheme val="minor"/>
      </rPr>
      <t>Verify that the CS management team can identify the top 'top and bottom' topics from the VOICE related to customer service, ensuring they are actively analyzing feedback for insights.</t>
    </r>
  </si>
  <si>
    <r>
      <rPr>
        <b/>
        <sz val="11"/>
        <color theme="1"/>
        <rFont val="Calibri"/>
        <family val="2"/>
        <scheme val="minor"/>
      </rPr>
      <t xml:space="preserve">Reporting Hub Access: </t>
    </r>
    <r>
      <rPr>
        <sz val="11"/>
        <color theme="1"/>
        <rFont val="Calibri"/>
        <family val="2"/>
        <scheme val="minor"/>
      </rPr>
      <t>Assess the CS management team's access to the VOICE reporting hub to evaluate the effectiveness of the 'Follow Up' process. Verification will include checking whether the team is achieving the Key Performance Indicators (KPIs) and key metrics established by the Global/Regional team.</t>
    </r>
  </si>
  <si>
    <r>
      <rPr>
        <b/>
        <sz val="11"/>
        <color theme="1"/>
        <rFont val="Calibri"/>
        <family val="2"/>
        <scheme val="minor"/>
      </rPr>
      <t xml:space="preserve">Root Cause Analysis Verification: </t>
    </r>
    <r>
      <rPr>
        <sz val="11"/>
        <color theme="1"/>
        <rFont val="Calibri"/>
        <family val="2"/>
        <scheme val="minor"/>
      </rPr>
      <t>Review documentation to ensure that the CS management team conducts Root Cause Analysis for transactions with low NPS scores, confirming that they are identifying and addressing the underlying issues.</t>
    </r>
  </si>
  <si>
    <r>
      <rPr>
        <b/>
        <sz val="11"/>
        <color theme="1"/>
        <rFont val="Calibri"/>
        <family val="2"/>
        <scheme val="minor"/>
      </rPr>
      <t xml:space="preserve">Improvement Initiatives Tracking: </t>
    </r>
    <r>
      <rPr>
        <sz val="11"/>
        <color theme="1"/>
        <rFont val="Calibri"/>
        <family val="2"/>
        <scheme val="minor"/>
      </rPr>
      <t>Verify that the CS management team is driving improvement initiatives, whether within the CS function or cross-functionally, to address customer concerns. Documentation will be reviewed to ensure that these initiatives are resulting in positive outcomes.</t>
    </r>
  </si>
  <si>
    <t xml:space="preserve"> M03      </t>
  </si>
  <si>
    <r>
      <rPr>
        <b/>
        <sz val="11"/>
        <color theme="1"/>
        <rFont val="Calibri"/>
        <family val="2"/>
        <scheme val="minor"/>
      </rPr>
      <t>Availability of Reports:</t>
    </r>
    <r>
      <rPr>
        <sz val="11"/>
        <color theme="1"/>
        <rFont val="Calibri"/>
        <family val="2"/>
        <scheme val="minor"/>
      </rPr>
      <t xml:space="preserve"> Confirm that reports, including those available in PPMT, cover all aspects of the Customer Service Excellence Scorecard. This will involve checking the reporting system to ensure these reports are accessible.</t>
    </r>
  </si>
  <si>
    <r>
      <rPr>
        <b/>
        <sz val="11"/>
        <color theme="1"/>
        <rFont val="Calibri"/>
        <family val="2"/>
        <scheme val="minor"/>
      </rPr>
      <t>Comprehensive Report Review:</t>
    </r>
    <r>
      <rPr>
        <sz val="11"/>
        <color theme="1"/>
        <rFont val="Calibri"/>
        <family val="2"/>
        <scheme val="minor"/>
      </rPr>
      <t xml:space="preserve"> Verify that additional reports aimed at improving center performance such as Login/Logout, Call Wrap Up, Transfer Calls, On-Hold Time, Inbound/Outbound Calls per Workstation, Repeat Traces, Aging Reports, Customer Callbacks, Justified GEMA/SPARK Escalations, and Customer Satisfaction Survey Reports are available. Reports related to chat and email interactions will also be included in this review.</t>
    </r>
  </si>
  <si>
    <r>
      <rPr>
        <b/>
        <sz val="11"/>
        <color theme="1"/>
        <rFont val="Calibri"/>
        <family val="2"/>
        <scheme val="minor"/>
      </rPr>
      <t xml:space="preserve">Frequency of Report Availability: </t>
    </r>
    <r>
      <rPr>
        <sz val="11"/>
        <color theme="1"/>
        <rFont val="Calibri"/>
        <family val="2"/>
        <scheme val="minor"/>
      </rPr>
      <t>Assess that these reports are available for review on a daily, weekly, and monthly basis, ensuring they are regularly updated and accessible for analysis.</t>
    </r>
  </si>
  <si>
    <r>
      <rPr>
        <b/>
        <sz val="11"/>
        <color theme="1"/>
        <rFont val="Calibri"/>
        <family val="2"/>
        <scheme val="minor"/>
      </rPr>
      <t xml:space="preserve">Level of Detail: </t>
    </r>
    <r>
      <rPr>
        <sz val="11"/>
        <color theme="1"/>
        <rFont val="Calibri"/>
        <family val="2"/>
        <scheme val="minor"/>
      </rPr>
      <t>Verify that reports are available at the Advisor, Team, Section, and Department levels to facilitate tracking and trending of performance metrics.</t>
    </r>
  </si>
  <si>
    <r>
      <rPr>
        <b/>
        <sz val="11"/>
        <color theme="1"/>
        <rFont val="Calibri"/>
        <family val="2"/>
        <scheme val="minor"/>
      </rPr>
      <t xml:space="preserve">Performance Follow-Up: </t>
    </r>
    <r>
      <rPr>
        <sz val="11"/>
        <color theme="1"/>
        <rFont val="Calibri"/>
        <family val="2"/>
        <scheme val="minor"/>
      </rPr>
      <t>Review documentation and records to ensure that superiors are utilizing these reports to follow up with staff regarding performance improvement, confirming that actionable insights are being communicated effectively.</t>
    </r>
  </si>
  <si>
    <r>
      <rPr>
        <b/>
        <sz val="11"/>
        <color theme="1"/>
        <rFont val="Calibri"/>
        <family val="2"/>
        <scheme val="minor"/>
      </rPr>
      <t xml:space="preserve">Daily Analysis of Case Age: </t>
    </r>
    <r>
      <rPr>
        <sz val="11"/>
        <color theme="1"/>
        <rFont val="Calibri"/>
        <family val="2"/>
        <scheme val="minor"/>
      </rPr>
      <t>Verify that supervisors/managers perform and analyze the age of cases daily. The report should highlight requests/activities that are beyond the Regional KPI timeframe. Ensure that there is a process in place to locally manage exception cases, involving a detailed check per request/activity to understand why the case is still pending.</t>
    </r>
  </si>
  <si>
    <t xml:space="preserve"> M04      </t>
  </si>
  <si>
    <r>
      <rPr>
        <b/>
        <sz val="11"/>
        <color theme="1"/>
        <rFont val="Calibri"/>
        <family val="2"/>
        <scheme val="minor"/>
      </rPr>
      <t xml:space="preserve">Accuracy Assessment: </t>
    </r>
    <r>
      <rPr>
        <sz val="11"/>
        <color theme="1"/>
        <rFont val="Calibri"/>
        <family val="2"/>
        <scheme val="minor"/>
      </rPr>
      <t>A review will be conducted to confirm that all reports, data, and presentations are accurate and meaningful. This will involve cross-referencing the data against source documents and validating the calculations and insights presented.</t>
    </r>
  </si>
  <si>
    <r>
      <rPr>
        <b/>
        <sz val="11"/>
        <color theme="1"/>
        <rFont val="Calibri"/>
        <family val="2"/>
        <scheme val="minor"/>
      </rPr>
      <t xml:space="preserve">Understanding of Data: </t>
    </r>
    <r>
      <rPr>
        <sz val="11"/>
        <color theme="1"/>
        <rFont val="Calibri"/>
        <family val="2"/>
        <scheme val="minor"/>
      </rPr>
      <t>Verification will include discussions and assessments with the reporting team and Managers to ensure they understand the data and can explain its significance. This may involve interviews to gauge their comprehension and ability to articulate findings.</t>
    </r>
  </si>
  <si>
    <r>
      <rPr>
        <b/>
        <sz val="11"/>
        <color theme="1"/>
        <rFont val="Calibri"/>
        <family val="2"/>
        <scheme val="minor"/>
      </rPr>
      <t>Action Presentation Review:</t>
    </r>
    <r>
      <rPr>
        <sz val="11"/>
        <color theme="1"/>
        <rFont val="Calibri"/>
        <family val="2"/>
        <scheme val="minor"/>
      </rPr>
      <t xml:space="preserve"> Actions related to the extracted data will be examined to confirm that they are clearly presented and aligned with the insights derived from the reports. Documentation of these actions will be reviewed to ensure they are actionable and relevant.</t>
    </r>
  </si>
  <si>
    <r>
      <rPr>
        <b/>
        <sz val="11"/>
        <color theme="1"/>
        <rFont val="Calibri"/>
        <family val="2"/>
        <scheme val="minor"/>
      </rPr>
      <t>Compliance with Business Rules:</t>
    </r>
    <r>
      <rPr>
        <sz val="11"/>
        <color theme="1"/>
        <rFont val="Calibri"/>
        <family val="2"/>
        <scheme val="minor"/>
      </rPr>
      <t xml:space="preserve"> For reports showing country-level performance developed locally, verification will include checking that they follow the established business rules document. This will involve reviewing the reports to ensure they adhere to the specified guidelines and standards.</t>
    </r>
  </si>
  <si>
    <t xml:space="preserve"> M05      </t>
  </si>
  <si>
    <r>
      <rPr>
        <b/>
        <sz val="11"/>
        <color theme="1"/>
        <rFont val="Calibri"/>
        <family val="2"/>
        <scheme val="minor"/>
      </rPr>
      <t xml:space="preserve">Review of Performance Measures: </t>
    </r>
    <r>
      <rPr>
        <sz val="11"/>
        <color theme="1"/>
        <rFont val="Calibri"/>
        <family val="2"/>
        <scheme val="minor"/>
      </rPr>
      <t>Confirm that different performance measures, in addition to the CSE Scorecard, are established and that specific targets and goals are set to enhance overall performance.</t>
    </r>
  </si>
  <si>
    <r>
      <rPr>
        <b/>
        <sz val="11"/>
        <color theme="1"/>
        <rFont val="Calibri"/>
        <family val="2"/>
        <scheme val="minor"/>
      </rPr>
      <t>Tracking and Trending Analysis:</t>
    </r>
    <r>
      <rPr>
        <sz val="11"/>
        <color theme="1"/>
        <rFont val="Calibri"/>
        <family val="2"/>
        <scheme val="minor"/>
      </rPr>
      <t xml:space="preserve"> Verify that tracking, trending, and comparisons of current and past performance (e.g., daily, weekly, month-to-date, and monthly) are conducted to identify areas and opportunities for improvement.</t>
    </r>
  </si>
  <si>
    <r>
      <rPr>
        <b/>
        <sz val="11"/>
        <color theme="1"/>
        <rFont val="Calibri"/>
        <family val="2"/>
        <scheme val="minor"/>
      </rPr>
      <t>Regular Performance Reviews:</t>
    </r>
    <r>
      <rPr>
        <sz val="11"/>
        <color theme="1"/>
        <rFont val="Calibri"/>
        <family val="2"/>
        <scheme val="minor"/>
      </rPr>
      <t xml:space="preserve"> Assess documentation to ensure that performance reviews are conducted regularly at individual, team, and department levels, with the frequency of reviews aligned with the measurement criteria (daily, weekly, or monthly).</t>
    </r>
  </si>
  <si>
    <r>
      <rPr>
        <b/>
        <sz val="11"/>
        <color theme="1"/>
        <rFont val="Calibri"/>
        <family val="2"/>
        <scheme val="minor"/>
      </rPr>
      <t>Action Implementation Verification:</t>
    </r>
    <r>
      <rPr>
        <sz val="11"/>
        <color theme="1"/>
        <rFont val="Calibri"/>
        <family val="2"/>
        <scheme val="minor"/>
      </rPr>
      <t xml:space="preserve"> Review records to confirm that actions are taken to address identified areas for improvement and opportunities for better performance.</t>
    </r>
  </si>
  <si>
    <r>
      <rPr>
        <b/>
        <sz val="11"/>
        <color theme="1"/>
        <rFont val="Calibri"/>
        <family val="2"/>
        <scheme val="minor"/>
      </rPr>
      <t xml:space="preserve">Monitoring and Follow-Up Actions: </t>
    </r>
    <r>
      <rPr>
        <sz val="11"/>
        <color theme="1"/>
        <rFont val="Calibri"/>
        <family val="2"/>
        <scheme val="minor"/>
      </rPr>
      <t>Verify that monitoring and follow-up actions are conducted regularly to ensure sustainability and continuous performance improvement.</t>
    </r>
  </si>
  <si>
    <r>
      <rPr>
        <b/>
        <sz val="11"/>
        <color theme="1"/>
        <rFont val="Calibri"/>
        <family val="2"/>
        <scheme val="minor"/>
      </rPr>
      <t xml:space="preserve">Comprehensive Parameter Review: </t>
    </r>
    <r>
      <rPr>
        <sz val="11"/>
        <color theme="1"/>
        <rFont val="Calibri"/>
        <family val="2"/>
        <scheme val="minor"/>
      </rPr>
      <t>Ensure that the parameters reviewed are considered across all reports and sections and are utilized as inputs for business continuity and improvement initiatives as needed.</t>
    </r>
  </si>
  <si>
    <r>
      <rPr>
        <b/>
        <sz val="11"/>
        <color theme="1"/>
        <rFont val="Calibri"/>
        <family val="2"/>
        <scheme val="minor"/>
      </rPr>
      <t>Evidence of Actions Taken:</t>
    </r>
    <r>
      <rPr>
        <sz val="11"/>
        <color theme="1"/>
        <rFont val="Calibri"/>
        <family val="2"/>
        <scheme val="minor"/>
      </rPr>
      <t xml:space="preserve"> Check previous day reports and month-to-date reports for documented evidence of actions taken in response to performance assessments where necessary.</t>
    </r>
  </si>
  <si>
    <t xml:space="preserve"> M06      </t>
  </si>
  <si>
    <r>
      <rPr>
        <b/>
        <sz val="11"/>
        <color theme="1"/>
        <rFont val="Calibri"/>
        <family val="2"/>
        <scheme val="minor"/>
      </rPr>
      <t xml:space="preserve">Monitoring Results Review: </t>
    </r>
    <r>
      <rPr>
        <sz val="11"/>
        <color theme="1"/>
        <rFont val="Calibri"/>
        <family val="2"/>
        <scheme val="minor"/>
      </rPr>
      <t>Confirm that quality monitoring results are systematically tracked, trended, and analyzed at the department, team, staff, and question level. This will involve reviewing documentation and reports that detail the performance metrics across these levels.</t>
    </r>
  </si>
  <si>
    <r>
      <rPr>
        <b/>
        <sz val="11"/>
        <color theme="1"/>
        <rFont val="Calibri"/>
        <family val="2"/>
        <scheme val="minor"/>
      </rPr>
      <t xml:space="preserve">Analysis of Areas for Improvement: </t>
    </r>
    <r>
      <rPr>
        <sz val="11"/>
        <color theme="1"/>
        <rFont val="Calibri"/>
        <family val="2"/>
        <scheme val="minor"/>
      </rPr>
      <t>Assess the identified areas for improvement to ensure they are clearly documented and prioritized based on the analysis of the quality monitoring results.</t>
    </r>
  </si>
  <si>
    <r>
      <rPr>
        <b/>
        <sz val="11"/>
        <color theme="1"/>
        <rFont val="Calibri"/>
        <family val="2"/>
        <scheme val="minor"/>
      </rPr>
      <t>Training and Coaching Implementation:</t>
    </r>
    <r>
      <rPr>
        <sz val="11"/>
        <color theme="1"/>
        <rFont val="Calibri"/>
        <family val="2"/>
        <scheme val="minor"/>
      </rPr>
      <t xml:space="preserve"> Verify that appropriate training courses, including general training for multiple Advisors and targeted training on the job or coaching for individual Advisors, are being implemented to address the identified areas for improvement.</t>
    </r>
  </si>
  <si>
    <r>
      <rPr>
        <b/>
        <sz val="11"/>
        <color theme="1"/>
        <rFont val="Calibri"/>
        <family val="2"/>
        <scheme val="minor"/>
      </rPr>
      <t>Training Records Review:</t>
    </r>
    <r>
      <rPr>
        <sz val="11"/>
        <color theme="1"/>
        <rFont val="Calibri"/>
        <family val="2"/>
        <scheme val="minor"/>
      </rPr>
      <t xml:space="preserve"> Review training records and attendance logs to confirm that Advisors are participating in the necessary training sessions and coaching programs aimed at enhancing their performance.</t>
    </r>
  </si>
  <si>
    <r>
      <rPr>
        <b/>
        <sz val="11"/>
        <color theme="1"/>
        <rFont val="Calibri"/>
        <family val="2"/>
        <scheme val="minor"/>
      </rPr>
      <t xml:space="preserve">Follow-Up on Improvement Outcomes: </t>
    </r>
    <r>
      <rPr>
        <sz val="11"/>
        <color theme="1"/>
        <rFont val="Calibri"/>
        <family val="2"/>
        <scheme val="minor"/>
      </rPr>
      <t>Evaluate the effectiveness of the training and coaching initiatives by analyzing subsequent quality monitoring results to determine if there has been a measurable performance improvement.</t>
    </r>
  </si>
  <si>
    <t xml:space="preserve"> M07      </t>
  </si>
  <si>
    <r>
      <rPr>
        <b/>
        <sz val="11"/>
        <color theme="1"/>
        <rFont val="Calibri"/>
        <family val="2"/>
        <scheme val="minor"/>
      </rPr>
      <t xml:space="preserve">Program Implementation Review: </t>
    </r>
    <r>
      <rPr>
        <sz val="11"/>
        <color theme="1"/>
        <rFont val="Calibri"/>
        <family val="2"/>
        <scheme val="minor"/>
      </rPr>
      <t>Confirm that the Internal Mystery Shopper Program is conducted monthly by colleagues from departments such as Sales, Operations, and Marketing, who are not part of the Customer Service function.</t>
    </r>
  </si>
  <si>
    <r>
      <rPr>
        <b/>
        <sz val="11"/>
        <color theme="1"/>
        <rFont val="Calibri"/>
        <family val="2"/>
        <scheme val="minor"/>
      </rPr>
      <t>Assessment Scoring:</t>
    </r>
    <r>
      <rPr>
        <sz val="11"/>
        <color theme="1"/>
        <rFont val="Calibri"/>
        <family val="2"/>
        <scheme val="minor"/>
      </rPr>
      <t xml:space="preserve"> Verify that the internal colleagues/external party complete the scoring independently after conducting a minimum of 10 calls or chats each month, in line with global quality standards. Documentation of these assessments will be reviewed to ensure compliance with the established criteria.</t>
    </r>
  </si>
  <si>
    <r>
      <rPr>
        <b/>
        <sz val="11"/>
        <color theme="1"/>
        <rFont val="Calibri"/>
        <family val="2"/>
        <scheme val="minor"/>
      </rPr>
      <t xml:space="preserve">Results Sharing: </t>
    </r>
    <r>
      <rPr>
        <sz val="11"/>
        <color theme="1"/>
        <rFont val="Calibri"/>
        <family val="2"/>
        <scheme val="minor"/>
      </rPr>
      <t>Check that the results of the Internal Mystery Shopper assessments are shared with the staff during monthly department meetings or individual coaching sessions. Verification will include examining meeting minutes and coaching forms to confirm that scores from the program are documented and discussed.</t>
    </r>
  </si>
  <si>
    <r>
      <rPr>
        <b/>
        <sz val="11"/>
        <color theme="1"/>
        <rFont val="Calibri"/>
        <family val="2"/>
        <scheme val="minor"/>
      </rPr>
      <t xml:space="preserve">Documentation of Findings: </t>
    </r>
    <r>
      <rPr>
        <sz val="11"/>
        <color theme="1"/>
        <rFont val="Calibri"/>
        <family val="2"/>
        <scheme val="minor"/>
      </rPr>
      <t>Ensure that the results, gap analysis, and action plans stemming from the Internal Mystery Shopper assessments are documented and traceable. This will involve reviewing reports and action plans to confirm that they are properly recorded and accessible for future reference.</t>
    </r>
  </si>
  <si>
    <t xml:space="preserve"> M08      </t>
  </si>
  <si>
    <r>
      <rPr>
        <b/>
        <sz val="11"/>
        <color theme="1"/>
        <rFont val="Calibri"/>
        <family val="2"/>
        <scheme val="minor"/>
      </rPr>
      <t>Monthly Tracking Review:</t>
    </r>
    <r>
      <rPr>
        <sz val="11"/>
        <color theme="1"/>
        <rFont val="Calibri"/>
        <family val="2"/>
        <scheme val="minor"/>
      </rPr>
      <t xml:space="preserve"> Confirm that results are consistently tracked, trended, and analyzed on a monthly basis. This will involve reviewing documentation that outlines the monthly performance metrics and trends.</t>
    </r>
  </si>
  <si>
    <r>
      <rPr>
        <b/>
        <sz val="11"/>
        <color theme="1"/>
        <rFont val="Calibri"/>
        <family val="2"/>
        <scheme val="minor"/>
      </rPr>
      <t xml:space="preserve">Comprehensive Analysis Assessment: </t>
    </r>
    <r>
      <rPr>
        <sz val="11"/>
        <color theme="1"/>
        <rFont val="Calibri"/>
        <family val="2"/>
        <scheme val="minor"/>
      </rPr>
      <t>Verify that a detailed analysis is conducted on the overall results, broken down by elements, staff level, and in comparison, with monthly quality monitoring scores. This will include examining reports that illustrate these comparisons and analyses.</t>
    </r>
  </si>
  <si>
    <r>
      <rPr>
        <b/>
        <sz val="11"/>
        <color theme="1"/>
        <rFont val="Calibri"/>
        <family val="2"/>
        <scheme val="minor"/>
      </rPr>
      <t xml:space="preserve">Action Implementation Verification: </t>
    </r>
    <r>
      <rPr>
        <sz val="11"/>
        <color theme="1"/>
        <rFont val="Calibri"/>
        <family val="2"/>
        <scheme val="minor"/>
      </rPr>
      <t>Review records to ensure that appropriate actions are taken to address identified opportunities and concerns for the center or individual staff members. Documentation of these actions will be assessed for completeness and relevance.</t>
    </r>
  </si>
  <si>
    <r>
      <rPr>
        <b/>
        <sz val="11"/>
        <color theme="1"/>
        <rFont val="Calibri"/>
        <family val="2"/>
        <scheme val="minor"/>
      </rPr>
      <t xml:space="preserve">Follow-Up Action Monitoring: </t>
    </r>
    <r>
      <rPr>
        <sz val="11"/>
        <color theme="1"/>
        <rFont val="Calibri"/>
        <family val="2"/>
        <scheme val="minor"/>
      </rPr>
      <t>Check that follow-up actions are taken when agreed improvement plans do not yield positive or effective results. This will involve reviewing follow-up reports to confirm that necessary adjustments are made.</t>
    </r>
  </si>
  <si>
    <r>
      <rPr>
        <b/>
        <sz val="11"/>
        <color theme="1"/>
        <rFont val="Calibri"/>
        <family val="2"/>
        <scheme val="minor"/>
      </rPr>
      <t>Documentation Review:</t>
    </r>
    <r>
      <rPr>
        <sz val="11"/>
        <color theme="1"/>
        <rFont val="Calibri"/>
        <family val="2"/>
        <scheme val="minor"/>
      </rPr>
      <t xml:space="preserve"> Ensure that all action plans and follow-up actions aimed at addressing areas for improvement are thoroughly documented. This documentation will be reviewed for clarity and traceability.</t>
    </r>
  </si>
  <si>
    <r>
      <rPr>
        <b/>
        <sz val="11"/>
        <color theme="1"/>
        <rFont val="Calibri"/>
        <family val="2"/>
        <scheme val="minor"/>
      </rPr>
      <t xml:space="preserve">Score Comparison Analysis: </t>
    </r>
    <r>
      <rPr>
        <sz val="11"/>
        <color theme="1"/>
        <rFont val="Calibri"/>
        <family val="2"/>
        <scheme val="minor"/>
      </rPr>
      <t>Compare the scores obtained by the independent party and the Customer Service Supervisors during quality assessments to identify any variances. If discrepancies are found, which exceed the allowable variance verify that a review is conducted to understand the reasons behind these gaps, ensuring that corrective measures are implemented to narrow them.</t>
    </r>
  </si>
  <si>
    <t xml:space="preserve"> M09      </t>
  </si>
  <si>
    <r>
      <rPr>
        <b/>
        <sz val="11"/>
        <color theme="1"/>
        <rFont val="Calibri"/>
        <family val="2"/>
        <scheme val="minor"/>
      </rPr>
      <t>Physical Inspection of Wallboards:</t>
    </r>
    <r>
      <rPr>
        <sz val="11"/>
        <color theme="1"/>
        <rFont val="Calibri"/>
        <family val="2"/>
        <scheme val="minor"/>
      </rPr>
      <t xml:space="preserve"> Conduct a physical inspection of the Customer Service floor to confirm that wallboards are prominently displayed and accessible to both Supervisors and Advisors.</t>
    </r>
  </si>
  <si>
    <r>
      <rPr>
        <b/>
        <sz val="11"/>
        <color theme="1"/>
        <rFont val="Calibri"/>
        <family val="2"/>
        <scheme val="minor"/>
      </rPr>
      <t xml:space="preserve">Content Review: </t>
    </r>
    <r>
      <rPr>
        <sz val="11"/>
        <color theme="1"/>
        <rFont val="Calibri"/>
        <family val="2"/>
        <scheme val="minor"/>
      </rPr>
      <t>Review the information displayed on the wallboards to ensure that it includes critical performance metrics necessary for real-time management by Supervisors and visibility for Advisors.</t>
    </r>
  </si>
  <si>
    <r>
      <rPr>
        <b/>
        <sz val="11"/>
        <color theme="1"/>
        <rFont val="Calibri"/>
        <family val="2"/>
        <scheme val="minor"/>
      </rPr>
      <t xml:space="preserve">Staff Understanding Assessment: </t>
    </r>
    <r>
      <rPr>
        <sz val="11"/>
        <color theme="1"/>
        <rFont val="Calibri"/>
        <family val="2"/>
        <scheme val="minor"/>
      </rPr>
      <t>Engage with Advisors to assess their understanding of the information presented on the wallboards. This may involve informal discussions to confirm that they can explain the details and utilize the information effectively.</t>
    </r>
  </si>
  <si>
    <r>
      <rPr>
        <b/>
        <sz val="11"/>
        <color theme="1"/>
        <rFont val="Calibri"/>
        <family val="2"/>
        <scheme val="minor"/>
      </rPr>
      <t xml:space="preserve">Functionality Check: </t>
    </r>
    <r>
      <rPr>
        <sz val="11"/>
        <color theme="1"/>
        <rFont val="Calibri"/>
        <family val="2"/>
        <scheme val="minor"/>
      </rPr>
      <t>Verify that all wallboards are in working condition to ensure that they are displaying real-time data accurately and without interruption.</t>
    </r>
  </si>
  <si>
    <t>ID_Ejecutable</t>
  </si>
  <si>
    <t>Pilar</t>
  </si>
  <si>
    <t>Fecha_Completada</t>
  </si>
  <si>
    <t>Link_Evidencia_Real</t>
  </si>
  <si>
    <t>Comentarios_Ejecucion</t>
  </si>
  <si>
    <t>Descripcion_Instrucciones</t>
  </si>
  <si>
    <t>Checklist</t>
  </si>
  <si>
    <r>
      <t xml:space="preserve">ID_Maestra_Ref
</t>
    </r>
    <r>
      <rPr>
        <b/>
        <sz val="11"/>
        <color rgb="FFC00000"/>
        <rFont val="Calibri"/>
        <family val="2"/>
      </rPr>
      <t>Ctrl + Shift + E (editar tarea)</t>
    </r>
  </si>
  <si>
    <t>Atajo para Editar Tarea</t>
  </si>
  <si>
    <t>Responsable_Nombre</t>
  </si>
  <si>
    <t>Pilar_COE</t>
  </si>
  <si>
    <t>Punto_COE_Codigo</t>
  </si>
  <si>
    <t>Punto_COE_Nombre</t>
  </si>
  <si>
    <t>Responsable_Rol</t>
  </si>
  <si>
    <t>Frecuencia_Tipo</t>
  </si>
  <si>
    <t>Frecuencia_Detalle_Dia_Semana</t>
  </si>
  <si>
    <t>Frecuencia_Detalle_Dia_Mes</t>
  </si>
  <si>
    <t>Checklist_Items</t>
  </si>
  <si>
    <t>Evidencia_Sugerida_Notas</t>
  </si>
  <si>
    <t>Link_Evidencia_Predeterminado</t>
  </si>
  <si>
    <t>Estado_Plantilla</t>
  </si>
  <si>
    <t>Comentarios_Maestro</t>
  </si>
  <si>
    <t>Público_Agentes</t>
  </si>
  <si>
    <t>Pregunta_Verificacion (después de cargar inicial, bloquear)</t>
  </si>
  <si>
    <t>L</t>
  </si>
  <si>
    <t>KPI's - CSE Scorecard</t>
  </si>
  <si>
    <t>Gerente;CSD</t>
  </si>
  <si>
    <t>Trimestral</t>
  </si>
  <si>
    <t>Definir KPIs FL;Definir KPIs BL;Definir KPIs KAD;Definir KPIs CSD;Aprobar Scorecard final</t>
  </si>
  <si>
    <t>Documento de CSE Scorecard versionado</t>
  </si>
  <si>
    <t>Activa</t>
  </si>
  <si>
    <t>Presionar Ctrl+Shift+E</t>
  </si>
  <si>
    <t>Gerente;Supervisor FL;Supervisor BL;Supervisor KAD;CSD</t>
  </si>
  <si>
    <t>Realizar sesión de refuerzo FL;Realizar sesión de refuerzo BL;Realizar sesión de refuerzo KAD</t>
  </si>
  <si>
    <t>Listas de asistencia, material de capacitación</t>
  </si>
  <si>
    <t>Realizar simulacro con equipo FL;Realizar simulacro con equipo BL;Realizar simulacro con CSD</t>
  </si>
  <si>
    <t>Reporte de simulacro</t>
  </si>
  <si>
    <t>Sesión de preparación con Supervisores y CSD</t>
  </si>
  <si>
    <t>Minuta de reunión</t>
  </si>
  <si>
    <t>Supervisor FL;Supervisor BL;Supervisor KAD;CSD</t>
  </si>
  <si>
    <t>Verificar acceso en SmartConnect;Verificar acceso en PPMT;Verificar disponibilidad física</t>
  </si>
  <si>
    <t>Checklist de verificación completado</t>
  </si>
  <si>
    <t>Job Descriptions</t>
  </si>
  <si>
    <t>Semestral</t>
  </si>
  <si>
    <t>Revisar JD Gerente;Revisar JD Sup FL;Revisar JD Sup BL;Revisar JD CSD;Revisar JD Agentes</t>
  </si>
  <si>
    <t>JDs actualizadas y almacenadas en repositorio</t>
  </si>
  <si>
    <t>Gerente;Supervisor FL;Supervisor BL;Supervisor KAD</t>
  </si>
  <si>
    <t>Anual</t>
  </si>
  <si>
    <t>Comunicar JDs a equipo FL;Comunicar JDs a equipo BL;Obtener acuses de recibo</t>
  </si>
  <si>
    <t>Comunicaciones enviadas, acuses recibidos</t>
  </si>
  <si>
    <t>Gerente asegura cumplimiento y Supervisores actualizan datos de objetivos, desempeño y desarrollo (IDP).</t>
  </si>
  <si>
    <t>Revisar completitud de objetivos;Revisar completitud de evaluaciones;Revisar planes de desarrollo</t>
  </si>
  <si>
    <t>Reporte de completitud de sistema HR</t>
  </si>
  <si>
    <t>Supervisor FL;Supervisor BL;Supervisor KAD</t>
  </si>
  <si>
    <t>Realizar simulacro con equipo FL;Realizar simulacro con equipo BL</t>
  </si>
  <si>
    <t>Verificar acceso a repositorio de JDs</t>
  </si>
  <si>
    <t>Checklist de verificación</t>
  </si>
  <si>
    <t>Communication</t>
  </si>
  <si>
    <t>Ejecutar reuniones de equipo según calendario (PDs) con registros correspondientes</t>
  </si>
  <si>
    <t>Semanal</t>
  </si>
  <si>
    <t>Lunes</t>
  </si>
  <si>
    <t>Realizar reunión semanal equipo FL;Realizar reunión semanal equipo BL;Realizar reunión semanal equipo CSD</t>
  </si>
  <si>
    <t>Minutas de reunión, listas de asistencia</t>
  </si>
  <si>
    <t>Mensual</t>
  </si>
  <si>
    <t>Realizar reunión mensual departamental</t>
  </si>
  <si>
    <t>Agenda, minuta y presentación almacenada</t>
  </si>
  <si>
    <t>Diaria</t>
  </si>
  <si>
    <t>Generar y enviar reporte diario de KPIs</t>
  </si>
  <si>
    <t>Email con reporte enviado</t>
  </si>
  <si>
    <t>L03-04</t>
  </si>
  <si>
    <t>Realizar todas las comunicaciones necesarias para el departamento, por todos los medios disponibles (Gurú, Teams, Outlook)</t>
  </si>
  <si>
    <t>WFM Call - Forecasting</t>
  </si>
  <si>
    <t>Generar forecast mensual de llamadas</t>
  </si>
  <si>
    <t>Forecast almacenado</t>
  </si>
  <si>
    <t>Validar forecast mensual de llamadas</t>
  </si>
  <si>
    <t>Email de aprobación</t>
  </si>
  <si>
    <t>CSD;Gerente</t>
  </si>
  <si>
    <t>Revisar documento de metodología;Validar parámetros OET;Aprobar metodología</t>
  </si>
  <si>
    <t>Documento de metodología versionado</t>
  </si>
  <si>
    <t>L04-04</t>
  </si>
  <si>
    <t>L04-05</t>
  </si>
  <si>
    <t>Hacer programación en WFO</t>
  </si>
  <si>
    <t>Viernes</t>
  </si>
  <si>
    <t>L04-06</t>
  </si>
  <si>
    <t>Hacer reporte de variación forecast cada 15 min, Calls, AHT, GOS</t>
  </si>
  <si>
    <t>L04-07</t>
  </si>
  <si>
    <t>Martes</t>
  </si>
  <si>
    <t>WFM Call - Variance</t>
  </si>
  <si>
    <t>Calcular variación vs forecast;Analizar causas si &gt;10%;Documentar análisis y acciones</t>
  </si>
  <si>
    <t>Reporte de análisis de variación</t>
  </si>
  <si>
    <t>L05-02</t>
  </si>
  <si>
    <t>L05-03</t>
  </si>
  <si>
    <t>WFM Chat - Forecasting</t>
  </si>
  <si>
    <t>Generar forecast mensual de chats</t>
  </si>
  <si>
    <t>WFM Chat - Variance</t>
  </si>
  <si>
    <t>Peak/No Peak Periods</t>
  </si>
  <si>
    <t>Generar staffing para semana S+1;Publicar horarios para semana S+1</t>
  </si>
  <si>
    <t>Horarios publicados</t>
  </si>
  <si>
    <t>CSD (RTA) y Supervisores monitorean desempeño, colas y adherencia. La tarea es la verificación. Se sugiere armar grupo en Teams.</t>
  </si>
  <si>
    <t>Supervisor FL;CSD</t>
  </si>
  <si>
    <t>Monitorear colas y SL;Monitorear adherencia</t>
  </si>
  <si>
    <t>Reporte RTA del día</t>
  </si>
  <si>
    <t>Revisar plan de baja actividad;Ejecutar actividades planificadas</t>
  </si>
  <si>
    <t>Registros de actividades realizadas</t>
  </si>
  <si>
    <t>WFM BL/KAD Forecast</t>
  </si>
  <si>
    <t>Generar forecast BL/KAD</t>
  </si>
  <si>
    <t>Supervisor BL;Supervisor KAD;CSD</t>
  </si>
  <si>
    <t>Analizar productividad vs forecast;Validar datos con supervisión</t>
  </si>
  <si>
    <t>Reporte de productividad y análisis</t>
  </si>
  <si>
    <t>L09-03</t>
  </si>
  <si>
    <t>L09-04</t>
  </si>
  <si>
    <t>L09-05</t>
  </si>
  <si>
    <t>L09-06</t>
  </si>
  <si>
    <t>Overflowing Calls</t>
  </si>
  <si>
    <t>Definir y revisar plan de gestión de desbordamiento</t>
  </si>
  <si>
    <t>Revisión semanal del plan formal de overflow.</t>
  </si>
  <si>
    <t>Revisar criterios de activación;Revisar equipos de apoyo;Validar proceso</t>
  </si>
  <si>
    <t>Plan de overflow versionado</t>
  </si>
  <si>
    <t>Planned Paid Leave</t>
  </si>
  <si>
    <t>Revisar y comunicar política de ausencias y vacaciones</t>
  </si>
  <si>
    <t>Revisar política de ausencias;Validar umbrales con CSD;Comunicar política</t>
  </si>
  <si>
    <t>Política documentada y comunicada</t>
  </si>
  <si>
    <t>Recolectar preferencias de vacaciones;Crear y aprobar plan de vacaciones</t>
  </si>
  <si>
    <t>Plan de vacaciones aprobado</t>
  </si>
  <si>
    <t>Verificar y registrar ausencias FL;Verificar y registrar ausencias BL</t>
  </si>
  <si>
    <t>Registros de ausencia actualizados</t>
  </si>
  <si>
    <t>L11-04</t>
  </si>
  <si>
    <t>Ad-Hoc Absenteeism</t>
  </si>
  <si>
    <t>Gerente;Supervisor BL;Supervisor KAD</t>
  </si>
  <si>
    <t>Revisar plan de cobertura;Actualizar lista de buddys</t>
  </si>
  <si>
    <t>Lista de buddys actualizada</t>
  </si>
  <si>
    <t>Verificar ausencias del día;Asegurar reasignación de tareas urgentes</t>
  </si>
  <si>
    <t>Comunicaciones, reasignaciones</t>
  </si>
  <si>
    <t>L12-03</t>
  </si>
  <si>
    <t>Supervisor BL;Supervisor KAD</t>
  </si>
  <si>
    <t>L12-04</t>
  </si>
  <si>
    <t>Armar grupo en Teams para comunicar ausencias y cobertura de buddies</t>
  </si>
  <si>
    <t>Contingency Plan</t>
  </si>
  <si>
    <t>Revisión semestral completa del BCP, involucrando a todos los líderes.</t>
  </si>
  <si>
    <t>Revisar escenarios de fallas de sistema;Revisar escenarios de alto ausentismo;Actualizar plan</t>
  </si>
  <si>
    <t>Plan de contingencia versionado</t>
  </si>
  <si>
    <t>Realizar simulacro del Plan de Contingencia y revisar que las copias físicas estén en su lugar</t>
  </si>
  <si>
    <t>Planificar simulacro;Ejecutar simulacro;Documentar lecciones</t>
  </si>
  <si>
    <t>Informe de resultados y acciones</t>
  </si>
  <si>
    <t>Verificación semestral de que el plan está accesible en todos los canales designados.</t>
  </si>
  <si>
    <t>Verificar en SharePoint;Verificar copias físicas</t>
  </si>
  <si>
    <t>KAD Activation</t>
  </si>
  <si>
    <t>Auditar activaciones del trimestre;Auditar desactivaciones del trimestre</t>
  </si>
  <si>
    <t>Reporte de auto-auditoría KAD</t>
  </si>
  <si>
    <t>KAD Requirements</t>
  </si>
  <si>
    <t>Revisar perfiles de clientes asignados;Actualizar información de contacto y SLAs</t>
  </si>
  <si>
    <t>Perfiles de cliente KAD actualizados</t>
  </si>
  <si>
    <t>Efficiency Optimization</t>
  </si>
  <si>
    <t>Realizar revisión semestral de eficiencia con actualizaciones mensuales</t>
  </si>
  <si>
    <t>Analizar costo por contacto/caso;Identificar oportunidades de automatización</t>
  </si>
  <si>
    <t>Minuta de reunión de eficiencia y plan de acción</t>
  </si>
  <si>
    <t>L16-02</t>
  </si>
  <si>
    <t>Revisar CR, Eficiencia operativa, Costos de manera mensual</t>
  </si>
  <si>
    <t>CS Headcounts</t>
  </si>
  <si>
    <t>Obtener reportes HR/Finanzas;Realizar y documentar conciliación;Investigar discrepancias</t>
  </si>
  <si>
    <t>Reporte de conciliación firmado</t>
  </si>
  <si>
    <t>Upselling Targets</t>
  </si>
  <si>
    <t>Comunicar objetivos a equipos</t>
  </si>
  <si>
    <t>Material y registros de capacitación</t>
  </si>
  <si>
    <t>Selling Campaign</t>
  </si>
  <si>
    <t>Seguimiento mensual del desempeño de las campañas de venta en curso.</t>
  </si>
  <si>
    <t>Generar reporte de campaña;Comunicar resultados</t>
  </si>
  <si>
    <t>Reporte de campaña enviado</t>
  </si>
  <si>
    <t>Quotations to PickUp</t>
  </si>
  <si>
    <t>Gerente;Supervisor FL;CSD</t>
  </si>
  <si>
    <t>Generar reporte de conversión;Analizar causas raíz;Definir acciones de mejora</t>
  </si>
  <si>
    <t>Reporte de análisis y acciones</t>
  </si>
  <si>
    <t>Optional Services</t>
  </si>
  <si>
    <t>Escuchar llamadas/revisar chats;Dar feedback sobre oferta de OSS</t>
  </si>
  <si>
    <t>Formularios de monitoreo de calidad</t>
  </si>
  <si>
    <t>SLA CS-COM</t>
  </si>
  <si>
    <t>Realizar revisión trimestral del SLA CS-Comercial (plan de Leads/otros)</t>
  </si>
  <si>
    <t>Reunión formal trimestral para revisar progreso del Plan/SLA con Comercial. Basado en plan de generación de Leads</t>
  </si>
  <si>
    <t>Preparar reporte de progreso;Liderar reunión con Comercial;Documentar minuta y acciones</t>
  </si>
  <si>
    <t>L22-02</t>
  </si>
  <si>
    <t>Hacer seguimiento mensual del plan de generación de revenue</t>
  </si>
  <si>
    <t>M</t>
  </si>
  <si>
    <t>Root Cause Analysis</t>
  </si>
  <si>
    <t>Supervisores lideran una sesión mensual de RCA sobre los principales motivos de casos para identificar oportunidades de mejora.</t>
  </si>
  <si>
    <t>Gerente;Supervisor BL;Supervisor KAD;CSD</t>
  </si>
  <si>
    <t>Identificar top motivos de apertura de casos;Realizar sesión de RCA;Documentar acciones</t>
  </si>
  <si>
    <t>Minuta de sesión de RCA y plan de acción</t>
  </si>
  <si>
    <t>M01-02</t>
  </si>
  <si>
    <t>Armar presentaciones para el SMT en base a análisis del RCA para resolver principales oportunidades de aperturas de casos a nivel local</t>
  </si>
  <si>
    <t>M01-03</t>
  </si>
  <si>
    <t>M01-04</t>
  </si>
  <si>
    <t>Customer Feedback</t>
  </si>
  <si>
    <t>Consolidar feedback del mes;Analizar tendencias;Asignar y documentar acciones</t>
  </si>
  <si>
    <t>Reporte de análisis de feedback y acciones</t>
  </si>
  <si>
    <t>M02-02</t>
  </si>
  <si>
    <t>Armar presentación de la voz del cliente de acuerdo con análisis de VOICE</t>
  </si>
  <si>
    <t>Performance Reports</t>
  </si>
  <si>
    <t>CSD asegura que todos los reportes de desempeño se generan y distribuyen diariamente a través del canal adecuado</t>
  </si>
  <si>
    <t>Validar que reportes de KPIs provienen de PPMT y otros;Comunicar a Supervisores</t>
  </si>
  <si>
    <t>Checklist de verificación de reportes</t>
  </si>
  <si>
    <t>M03-02</t>
  </si>
  <si>
    <t>M03-03</t>
  </si>
  <si>
    <t>Realizar reporte Booking cash para hacer seguimiento por advisor de FL</t>
  </si>
  <si>
    <t>M03-04</t>
  </si>
  <si>
    <t>M03-05</t>
  </si>
  <si>
    <t>M03-06</t>
  </si>
  <si>
    <t>M03-07</t>
  </si>
  <si>
    <t>Realizar reporte de Leads semanal para agentes de FL</t>
  </si>
  <si>
    <t>M03-08</t>
  </si>
  <si>
    <t>M03-09</t>
  </si>
  <si>
    <t>M03-10</t>
  </si>
  <si>
    <t>M03-11</t>
  </si>
  <si>
    <t>M03-12</t>
  </si>
  <si>
    <t>Realizar reporte de FTRs y Wrap-up semanal para agentes de FL</t>
  </si>
  <si>
    <t>M03-13</t>
  </si>
  <si>
    <t>Data Collection</t>
  </si>
  <si>
    <t>Mapear fuentes de datos;Validar precisión de una muestra de datos</t>
  </si>
  <si>
    <t>Reporte de auditoría de datos</t>
  </si>
  <si>
    <t>Performance Review</t>
  </si>
  <si>
    <t>Revisar KPIs del equipo;Comunicar resultados en reunión de equipo;Registrar acciones tomadas</t>
  </si>
  <si>
    <t>Pizarra de desempeño, notas de reunión</t>
  </si>
  <si>
    <t>Quality Monitoring (QM)</t>
  </si>
  <si>
    <t>Generar reporte de tendencias de QM;Analizar resultados;Presentar a Gerencia</t>
  </si>
  <si>
    <t>Reporte de tendencias de Calidad</t>
  </si>
  <si>
    <t>M06-02</t>
  </si>
  <si>
    <t>M06-03</t>
  </si>
  <si>
    <t>Mystery Shopper</t>
  </si>
  <si>
    <t>CSD analiza resultados de la ejecución trimestral del programa de Mystery Shopper, ya sea con un proveedor externo o un equipo interno independiente.</t>
  </si>
  <si>
    <t>Coordinar ejecución de Mystery Shopper;Recibir y analizar resultados;Compartir con Supervisores</t>
  </si>
  <si>
    <t>Reporte de resultados de Mystery Shopper</t>
  </si>
  <si>
    <t>M07-02</t>
  </si>
  <si>
    <t>CSD o responsable designado analiza los resultados trimestrales del programa de auto-monitoreo del personal (IMSP) si está implementado.</t>
  </si>
  <si>
    <t>Recopilar y analizar datos de IMSP;Generar reporte de resultados</t>
  </si>
  <si>
    <t>Reporte de IMSP</t>
  </si>
  <si>
    <t>Performance Display</t>
  </si>
  <si>
    <t>M09.1: Desplegar Wallboards o Tableros de Desempeño accesibles, verificar funcionamiento correcto y que los agentes lo comprendan</t>
  </si>
  <si>
    <t>Chequear Wallboard Físico;Chequear Wallboard Virtual (ej. en Teams);Reportar incidencias</t>
  </si>
  <si>
    <t>Checklist de verificación de tableros</t>
  </si>
  <si>
    <t>P</t>
  </si>
  <si>
    <t>Recognition</t>
  </si>
  <si>
    <t>Revisar criterios del programa;Comunicar programa en reunión departamental;Publicar ganadores</t>
  </si>
  <si>
    <t>Comunicación, minuta de reunión</t>
  </si>
  <si>
    <t>P01-02</t>
  </si>
  <si>
    <t>P01-03</t>
  </si>
  <si>
    <t>Identificar top performers del mes;Realizar reconocimiento público/escrito</t>
  </si>
  <si>
    <t>Email de reconocimiento, post en Teams</t>
  </si>
  <si>
    <t>Training - New Staff</t>
  </si>
  <si>
    <t>Ad-hoc</t>
  </si>
  <si>
    <t>Revisar nuevos ingresos;Verificar completitud de su plan de training</t>
  </si>
  <si>
    <t>Checklist de onboarding firmado, reporte de training matrix</t>
  </si>
  <si>
    <t>P03-02</t>
  </si>
  <si>
    <t>Realizar registros de la inducción de New hires</t>
  </si>
  <si>
    <t>Training - Refresher</t>
  </si>
  <si>
    <t>Analizar necesidades de capacitación;Definir temas para cada trimestre;Publicar roadmap</t>
  </si>
  <si>
    <t>Roadmap de capacitación anual</t>
  </si>
  <si>
    <t>P04-02</t>
  </si>
  <si>
    <t>P04-03</t>
  </si>
  <si>
    <t>P04-04</t>
  </si>
  <si>
    <t>P04-05</t>
  </si>
  <si>
    <t>P04-06</t>
  </si>
  <si>
    <t>P04-07</t>
  </si>
  <si>
    <t>Training - Exercises</t>
  </si>
  <si>
    <t>CSD realizan ejercicios prácticos o teóricos mensuales para validar que el conocimiento se mantiene fresco.</t>
  </si>
  <si>
    <t>Ejecutar ejercicio de conocimiento FL;Ejecutar ejercicio de conocimiento BL/KAD</t>
  </si>
  <si>
    <t>Resultados de los ejercicios</t>
  </si>
  <si>
    <t>P05-02</t>
  </si>
  <si>
    <t>Training - Verification</t>
  </si>
  <si>
    <t>Evaluar a nuevo personal en calidad para poder asegurar luego el "Go Live" y documentar los resultados de cada New Hire</t>
  </si>
  <si>
    <t>Supervisor o CSD realizan una evaluación de calidad final (ej. escucha de llamadas piloto) a los nuevos empleados antes de que pasen a producción ("Go Live").</t>
  </si>
  <si>
    <t>Realizar evaluación de calidad;Firmar formulario de paso a producción</t>
  </si>
  <si>
    <t>Formulario de "Go-Live" firmado</t>
  </si>
  <si>
    <t>Coaching - Structure</t>
  </si>
  <si>
    <t>Revisión mensual de coaching con todos los agentes.</t>
  </si>
  <si>
    <t>Muestrear registros de coaching;Validar cumplimiento de frecuencia;Dar feedback individual</t>
  </si>
  <si>
    <t>Reporte de revisión de coaching</t>
  </si>
  <si>
    <t>P07-02</t>
  </si>
  <si>
    <t>P07-03</t>
  </si>
  <si>
    <t>P07-04</t>
  </si>
  <si>
    <t>Coaching - Feedback</t>
  </si>
  <si>
    <t>Preparar sesión de coaching usando T-GROW;Realizar y documentar sesión</t>
  </si>
  <si>
    <t>Formularios de coaching completados</t>
  </si>
  <si>
    <t>Quality Monitoring</t>
  </si>
  <si>
    <t>Preparar interacciones a calibrar;Realizar sesión de calibración;Documentar resultados</t>
  </si>
  <si>
    <t>Reporte de sesión de calibración</t>
  </si>
  <si>
    <t>Completar monitoreos para equipo FL;Completar monitoreos para equipo BL/KAD</t>
  </si>
  <si>
    <t>Reporte de completitud de monitoreos</t>
  </si>
  <si>
    <t>P10-02</t>
  </si>
  <si>
    <t>Team Building</t>
  </si>
  <si>
    <t>Gerente y supervisores planifican y ejecutan al menos una actividad de team building o motivacional por mes.</t>
  </si>
  <si>
    <t>Planificar actividad mensual;Ejecutar y comunicar actividad</t>
  </si>
  <si>
    <t>Fotos, email de resumen de la actividad</t>
  </si>
  <si>
    <t>Action Plan (EOS)</t>
  </si>
  <si>
    <t>Revisar resultados de EOS;Definir planes de acción;Hacer seguimiento del progreso</t>
  </si>
  <si>
    <t>Planes de acción de EOS y su seguimiento</t>
  </si>
  <si>
    <t>T</t>
  </si>
  <si>
    <t>Process - Sales Lead</t>
  </si>
  <si>
    <t>Gerente define y documenta el proceso para pasar leads de calidad a Comercial. Se revisa y comunica trimestralmente.</t>
  </si>
  <si>
    <t>Gerente;Supervisor FL</t>
  </si>
  <si>
    <t>Revisar proceso actual;Documentar mejoras;Comunicar a equipos y a Comercial</t>
  </si>
  <si>
    <t>Proceso documentado, email de comunicación</t>
  </si>
  <si>
    <t>Process - Remote Bookings</t>
  </si>
  <si>
    <t>Auditar casos de RB;Verificar cumplimiento de SOP;Dar feedback y refuerzo</t>
  </si>
  <si>
    <t>Reporte de auditoría de proceso</t>
  </si>
  <si>
    <t>Tools - Booking</t>
  </si>
  <si>
    <t>Auditar reservas en sistema;Verificar uso correcto de códigos;Dar feedback y refuerzo</t>
  </si>
  <si>
    <t>Tools - Telephony</t>
  </si>
  <si>
    <t>T04.1: Asegurar correcta selección de estados de actividad en sistema telefónico (uso auxiliares) y revisión de reportes</t>
  </si>
  <si>
    <t>Revisar reporte de adherencia y uso auxiliares;Identificar desviaciones;Coaching a agentes</t>
  </si>
  <si>
    <t>Reporte de adherencia</t>
  </si>
  <si>
    <t>Tools - GEMA/SPARK</t>
  </si>
  <si>
    <t>Supervisor BL realiza una revisión mensual para asegurar el uso preciso del sistema en los casos de seguimiento (traces).</t>
  </si>
  <si>
    <t>Auditar casos de traces;Verificar campos obligatorios;Validar consistencia</t>
  </si>
  <si>
    <t>Reporte de auditoría de uso del sistema</t>
  </si>
  <si>
    <t>Supervisor BL verifica mensualmente que los agentes de FL/BL ingresan correctamente el tiempo esperado de contacto en el sistema.</t>
  </si>
  <si>
    <t>Auditar casos de BL;Verificar campo "tiempo esperado de contacto"</t>
  </si>
  <si>
    <t>T06-02</t>
  </si>
  <si>
    <t>Auditar casos de Claims;Verificar clasificación y SLAs</t>
  </si>
  <si>
    <t>Auditar casos de Complaints;Verificar aplicación de Service Recovery</t>
  </si>
  <si>
    <t>Process - Empowerment</t>
  </si>
  <si>
    <t>Revisar matriz de empoderamiento;Actualizar si es necesario;Comunicar a todo el personal</t>
  </si>
  <si>
    <t>Matriz de empoderamiento actualizada</t>
  </si>
  <si>
    <t>T09-02</t>
  </si>
  <si>
    <t>Supervisor verifica semestralmente que todas las plantillas de comunicación estándar están cargadas y actualizadas en el sistema.</t>
  </si>
  <si>
    <t>Revisar listado de plantillas;Verificar su existencia y versión en sistema</t>
  </si>
  <si>
    <t>Checklist de verificación de plantillas</t>
  </si>
  <si>
    <t>T10-02</t>
  </si>
  <si>
    <t>T10-03</t>
  </si>
  <si>
    <t>Process - Approval</t>
  </si>
  <si>
    <t>Muestrear pagos de compensación;Verificar firmas/aprobaciones digitales</t>
  </si>
  <si>
    <t>Reporte de auditoría de compensaciones</t>
  </si>
  <si>
    <t>Tools - KART</t>
  </si>
  <si>
    <t>Revisar reportes generados;Validar que provienen de KART</t>
  </si>
  <si>
    <t>Reporte de uso de herramienta</t>
  </si>
  <si>
    <t>Tools - GVA</t>
  </si>
  <si>
    <t>CSD y Gerente revisan mensualmente la configuración y el rendimiento del GVA para maximizar su uso y efectividad.</t>
  </si>
  <si>
    <t>Analizar % de interacciones manejadas por GVA;Identificar nuevos casos de uso</t>
  </si>
  <si>
    <t>Reporte de análisis de GVA</t>
  </si>
  <si>
    <t>T13-02</t>
  </si>
  <si>
    <t>Process - Call Routing</t>
  </si>
  <si>
    <t>Revisar flujos de llamadas;Actualizar documentación de enrutamiento</t>
  </si>
  <si>
    <t>Documentación de call routing actualizada</t>
  </si>
  <si>
    <t>Tools - IVR</t>
  </si>
  <si>
    <t>Mapear árbol del IVR;Verificar cumplimiento de estándares</t>
  </si>
  <si>
    <t>Diagrama de flujo del IVR y checklist</t>
  </si>
  <si>
    <t>Tools - AA</t>
  </si>
  <si>
    <t>CSD revisa semestralmente la configuración del Asistente Automático para asegurar que optimiza la transferencia de llamadas.</t>
  </si>
  <si>
    <t>Revisar configuración del AA;Analizar % de transferencias correctas</t>
  </si>
  <si>
    <t>Reporte de configuración del AA</t>
  </si>
  <si>
    <t>ID_Mapeo</t>
  </si>
  <si>
    <t>ID_Mapeo_Pregunta</t>
  </si>
  <si>
    <t>ID_Tarea_Asociada</t>
  </si>
  <si>
    <t>Tipo_Vinculo</t>
  </si>
  <si>
    <r>
      <t xml:space="preserve">Nombre_Tarea_Especifica
</t>
    </r>
    <r>
      <rPr>
        <b/>
        <sz val="11"/>
        <color rgb="FFC00000"/>
        <rFont val="Calibri"/>
        <family val="2"/>
      </rPr>
      <t>Ctrl + Shift + E (editar tarea)</t>
    </r>
  </si>
  <si>
    <t>Estado_Tarea</t>
  </si>
  <si>
    <t>Nota_Tarea</t>
  </si>
  <si>
    <t>Donde_se_da_el_PC?</t>
  </si>
  <si>
    <t>L01-P1</t>
  </si>
  <si>
    <t>Base</t>
  </si>
  <si>
    <t>L01-P2</t>
  </si>
  <si>
    <t>L01-P3</t>
  </si>
  <si>
    <t>L02-P1</t>
  </si>
  <si>
    <t>L02-P2</t>
  </si>
  <si>
    <t>L02-P3</t>
  </si>
  <si>
    <t>L02-P4</t>
  </si>
  <si>
    <t>L02-P5</t>
  </si>
  <si>
    <t>L03-P1</t>
  </si>
  <si>
    <t>Tareas Diarias</t>
  </si>
  <si>
    <t>Personalizada</t>
  </si>
  <si>
    <t>L03-P2</t>
  </si>
  <si>
    <t>L03-P3</t>
  </si>
  <si>
    <t>L03-P4</t>
  </si>
  <si>
    <t>L04-P1</t>
  </si>
  <si>
    <t>L04-P2</t>
  </si>
  <si>
    <t>L04-P3</t>
  </si>
  <si>
    <t>L04-P4</t>
  </si>
  <si>
    <t>L04-P5</t>
  </si>
  <si>
    <t>L05-P1</t>
  </si>
  <si>
    <t>L05-P2</t>
  </si>
  <si>
    <t>L05-P3</t>
  </si>
  <si>
    <t>L05-P4</t>
  </si>
  <si>
    <t>L05-P5</t>
  </si>
  <si>
    <t>L05-P6</t>
  </si>
  <si>
    <t>L05-P7</t>
  </si>
  <si>
    <t>L06-P1</t>
  </si>
  <si>
    <t>L06-P2</t>
  </si>
  <si>
    <t>L06-P3</t>
  </si>
  <si>
    <t>L06-P4</t>
  </si>
  <si>
    <t>L06-P5</t>
  </si>
  <si>
    <t>L07-P1</t>
  </si>
  <si>
    <t>L07-P2</t>
  </si>
  <si>
    <t>L07-P3</t>
  </si>
  <si>
    <t>L07-P4</t>
  </si>
  <si>
    <t>L07-P5</t>
  </si>
  <si>
    <t>L07-P6</t>
  </si>
  <si>
    <t>L07-P7</t>
  </si>
  <si>
    <t>L08-P1</t>
  </si>
  <si>
    <t>L08-P2</t>
  </si>
  <si>
    <t>L08-P3</t>
  </si>
  <si>
    <t>L08-P4</t>
  </si>
  <si>
    <t>L08-P5</t>
  </si>
  <si>
    <t>L08-P6</t>
  </si>
  <si>
    <t>L09-P1</t>
  </si>
  <si>
    <t>L09-P2</t>
  </si>
  <si>
    <t>L09-P3</t>
  </si>
  <si>
    <t>L09-P4</t>
  </si>
  <si>
    <t>L09-P5</t>
  </si>
  <si>
    <t>L09-P6</t>
  </si>
  <si>
    <t>L09-P7</t>
  </si>
  <si>
    <t>L09-P8</t>
  </si>
  <si>
    <t>L09-P9</t>
  </si>
  <si>
    <t>L10-P1</t>
  </si>
  <si>
    <t>L10-P2</t>
  </si>
  <si>
    <t>L11-P1</t>
  </si>
  <si>
    <t>L11-P2</t>
  </si>
  <si>
    <t>L11-P3</t>
  </si>
  <si>
    <t>L11-P4</t>
  </si>
  <si>
    <t>L12-P1</t>
  </si>
  <si>
    <t>L12-P2</t>
  </si>
  <si>
    <t>Work Queue Management:_x000D_
•Confirm that the GEMA/SPARK work queue of absent staff is managed either by the buddy through the GEMA/SPARK buddy login or by the Supervisor/Team Leader, who will assign the work to the buddy(ies)._x000D_
•Ensure that the Supervisor/Team Leader closely monitors the workload to ensure it is manageable and that no service disruption occurs.</t>
  </si>
  <si>
    <t>L12-P3</t>
  </si>
  <si>
    <t>L12-P4</t>
  </si>
  <si>
    <t>L13-P1</t>
  </si>
  <si>
    <t>L13-P2</t>
  </si>
  <si>
    <t>L13-P3</t>
  </si>
  <si>
    <t>L14-P1</t>
  </si>
  <si>
    <t>L14-P2</t>
  </si>
  <si>
    <t>L15-P1</t>
  </si>
  <si>
    <t>L15-P2</t>
  </si>
  <si>
    <t>L15-P3</t>
  </si>
  <si>
    <t>L16-P1</t>
  </si>
  <si>
    <t>L16-P2</t>
  </si>
  <si>
    <t>L16-P3</t>
  </si>
  <si>
    <t>L17-P1</t>
  </si>
  <si>
    <t>L17-P2</t>
  </si>
  <si>
    <t>L17-P3</t>
  </si>
  <si>
    <t>L18-P1</t>
  </si>
  <si>
    <t>L18-P2</t>
  </si>
  <si>
    <t>L18-P3</t>
  </si>
  <si>
    <t>L19-P1</t>
  </si>
  <si>
    <t>L19-P2</t>
  </si>
  <si>
    <t>L19-P3</t>
  </si>
  <si>
    <t>L20-P1</t>
  </si>
  <si>
    <t>L20-P2</t>
  </si>
  <si>
    <t>L20-P3</t>
  </si>
  <si>
    <t>L20-P4</t>
  </si>
  <si>
    <t>L20-P5</t>
  </si>
  <si>
    <t>L21-P1</t>
  </si>
  <si>
    <t>L21-P2</t>
  </si>
  <si>
    <t>L21-P3</t>
  </si>
  <si>
    <t>L22-P1</t>
  </si>
  <si>
    <t>L22-P2</t>
  </si>
  <si>
    <t>L22-P3</t>
  </si>
  <si>
    <t>L22-P4</t>
  </si>
  <si>
    <t>P01-P1</t>
  </si>
  <si>
    <t>P01-P2</t>
  </si>
  <si>
    <t>P01-P3</t>
  </si>
  <si>
    <t>P01-P4</t>
  </si>
  <si>
    <t>P01-P5</t>
  </si>
  <si>
    <t>P02-P1</t>
  </si>
  <si>
    <t>P02-P2</t>
  </si>
  <si>
    <t>P02-P3</t>
  </si>
  <si>
    <t>P03-P1</t>
  </si>
  <si>
    <t>P03-P2</t>
  </si>
  <si>
    <t>P03-P3</t>
  </si>
  <si>
    <t>P03-P4</t>
  </si>
  <si>
    <t>P04-P1</t>
  </si>
  <si>
    <t>P04-P2</t>
  </si>
  <si>
    <t>P04-P3</t>
  </si>
  <si>
    <t>P04-P4</t>
  </si>
  <si>
    <t>P04-P5</t>
  </si>
  <si>
    <t>P04-P6</t>
  </si>
  <si>
    <t>P05-P1</t>
  </si>
  <si>
    <t>P05-P2</t>
  </si>
  <si>
    <t>P05-P3</t>
  </si>
  <si>
    <t>P06-P1</t>
  </si>
  <si>
    <t>P06-P2</t>
  </si>
  <si>
    <t>P06-P3</t>
  </si>
  <si>
    <t>P06-P4</t>
  </si>
  <si>
    <t>P07-P1</t>
  </si>
  <si>
    <t>P07-P2</t>
  </si>
  <si>
    <t>P07-P3</t>
  </si>
  <si>
    <t>P07-P4</t>
  </si>
  <si>
    <t>P07-P5</t>
  </si>
  <si>
    <t>P08-P1</t>
  </si>
  <si>
    <t>P08-P2</t>
  </si>
  <si>
    <t>P08-P3</t>
  </si>
  <si>
    <t>P08-P4</t>
  </si>
  <si>
    <t>P08-P5</t>
  </si>
  <si>
    <t>P08-P6</t>
  </si>
  <si>
    <t>P08-P7</t>
  </si>
  <si>
    <t>P08-P8</t>
  </si>
  <si>
    <t>P08-P9</t>
  </si>
  <si>
    <t>P09-P1</t>
  </si>
  <si>
    <t>P09-P2</t>
  </si>
  <si>
    <t>P09-P3</t>
  </si>
  <si>
    <t>P09-P4</t>
  </si>
  <si>
    <t>P09-P5</t>
  </si>
  <si>
    <t>P10-P1</t>
  </si>
  <si>
    <t>P10-P2</t>
  </si>
  <si>
    <t>P10-P3</t>
  </si>
  <si>
    <t>P10-P4</t>
  </si>
  <si>
    <t>P10-P5</t>
  </si>
  <si>
    <t>P10-P6</t>
  </si>
  <si>
    <t>P11-P1</t>
  </si>
  <si>
    <t>P11-P2</t>
  </si>
  <si>
    <t>P12-P1</t>
  </si>
  <si>
    <t>P12-P2</t>
  </si>
  <si>
    <t>P12-P3</t>
  </si>
  <si>
    <t>P12-P4</t>
  </si>
  <si>
    <t>T01-P1</t>
  </si>
  <si>
    <t>T01-P2</t>
  </si>
  <si>
    <t>T01-P3</t>
  </si>
  <si>
    <t>T02-P01</t>
  </si>
  <si>
    <t>T02-P02</t>
  </si>
  <si>
    <t>T02-P03</t>
  </si>
  <si>
    <t>T02-P04</t>
  </si>
  <si>
    <t>T02-P05</t>
  </si>
  <si>
    <t>T02-P06</t>
  </si>
  <si>
    <t>T02-P07</t>
  </si>
  <si>
    <t>T02-P08</t>
  </si>
  <si>
    <t>T02-P09</t>
  </si>
  <si>
    <t>T02-P10</t>
  </si>
  <si>
    <t>T02-P11</t>
  </si>
  <si>
    <t>T02-P12</t>
  </si>
  <si>
    <t>T02-P13</t>
  </si>
  <si>
    <t>T02-P14</t>
  </si>
  <si>
    <t>T03-P1</t>
  </si>
  <si>
    <t>T03-P2</t>
  </si>
  <si>
    <t>T03-P3</t>
  </si>
  <si>
    <t>T03-P4</t>
  </si>
  <si>
    <t>T03-P5</t>
  </si>
  <si>
    <t>T03-P6</t>
  </si>
  <si>
    <t>T03-P7</t>
  </si>
  <si>
    <t>T03-P8</t>
  </si>
  <si>
    <t>T03-P9</t>
  </si>
  <si>
    <t>T04-P1</t>
  </si>
  <si>
    <t>T04-P2</t>
  </si>
  <si>
    <t>T04-P3</t>
  </si>
  <si>
    <t>T05-P1</t>
  </si>
  <si>
    <t>T05-P2</t>
  </si>
  <si>
    <t>T05-P3</t>
  </si>
  <si>
    <t>T05-P4</t>
  </si>
  <si>
    <t>T05-P5</t>
  </si>
  <si>
    <t>T05-P6</t>
  </si>
  <si>
    <t>T06-P1</t>
  </si>
  <si>
    <t>T06-P2</t>
  </si>
  <si>
    <t>T06-P3</t>
  </si>
  <si>
    <t>T06-P4</t>
  </si>
  <si>
    <t>T06-P5</t>
  </si>
  <si>
    <t>T07-P1</t>
  </si>
  <si>
    <t>T07-P2</t>
  </si>
  <si>
    <t>T07-P3</t>
  </si>
  <si>
    <t>T07-P4</t>
  </si>
  <si>
    <t>T07-P5</t>
  </si>
  <si>
    <t>T08-P1</t>
  </si>
  <si>
    <t>T08-P2</t>
  </si>
  <si>
    <t>T08-P3</t>
  </si>
  <si>
    <t>T08-P4</t>
  </si>
  <si>
    <t>T08-P5</t>
  </si>
  <si>
    <t>T09-P1</t>
  </si>
  <si>
    <t>T09-P2</t>
  </si>
  <si>
    <t>T09-P3</t>
  </si>
  <si>
    <t>T09-P4</t>
  </si>
  <si>
    <t>T09-P5</t>
  </si>
  <si>
    <t>T10-P1</t>
  </si>
  <si>
    <t>T10-P2</t>
  </si>
  <si>
    <t>T10-P3</t>
  </si>
  <si>
    <t>T11-P1</t>
  </si>
  <si>
    <t>T11-P2</t>
  </si>
  <si>
    <t>T11-P3</t>
  </si>
  <si>
    <t>T12-P1</t>
  </si>
  <si>
    <t>T12-P2</t>
  </si>
  <si>
    <t>T12-P3</t>
  </si>
  <si>
    <t>T12-P4</t>
  </si>
  <si>
    <t>T13-P1</t>
  </si>
  <si>
    <t>T13-P2</t>
  </si>
  <si>
    <t>T13-P3</t>
  </si>
  <si>
    <t>T14-P1</t>
  </si>
  <si>
    <t>T14-P2</t>
  </si>
  <si>
    <t>T14-P3</t>
  </si>
  <si>
    <t>T14-P4</t>
  </si>
  <si>
    <t>T14-P5</t>
  </si>
  <si>
    <t>T15-P1</t>
  </si>
  <si>
    <t>T15-P2</t>
  </si>
  <si>
    <t>T15-P3</t>
  </si>
  <si>
    <t>T15-P4</t>
  </si>
  <si>
    <t>T15-P5</t>
  </si>
  <si>
    <t>T15-P6</t>
  </si>
  <si>
    <t>T15-P7</t>
  </si>
  <si>
    <t>T16-P1</t>
  </si>
  <si>
    <t>T16-P2</t>
  </si>
  <si>
    <t>T16-P3</t>
  </si>
  <si>
    <t>T16-P4</t>
  </si>
  <si>
    <t>T16-P5</t>
  </si>
  <si>
    <t>T16-P6</t>
  </si>
  <si>
    <t>M01-P1</t>
  </si>
  <si>
    <t>M01-P2</t>
  </si>
  <si>
    <t>M01-P3</t>
  </si>
  <si>
    <t>M01-P4</t>
  </si>
  <si>
    <t>M01-P5</t>
  </si>
  <si>
    <t>M01-P6</t>
  </si>
  <si>
    <t>M01-P7</t>
  </si>
  <si>
    <t>M01-P8</t>
  </si>
  <si>
    <t>M02-P1</t>
  </si>
  <si>
    <t>M02-P2</t>
  </si>
  <si>
    <t>M02-P3</t>
  </si>
  <si>
    <t>M02-P4</t>
  </si>
  <si>
    <t>M02-P5</t>
  </si>
  <si>
    <t>M03-P1</t>
  </si>
  <si>
    <t>M03-P2</t>
  </si>
  <si>
    <t>M03-P3</t>
  </si>
  <si>
    <t>M03-P4</t>
  </si>
  <si>
    <t>M03-P5</t>
  </si>
  <si>
    <t>M03-P6</t>
  </si>
  <si>
    <t>M04-P1</t>
  </si>
  <si>
    <t>M04-P2</t>
  </si>
  <si>
    <t>M04-P3</t>
  </si>
  <si>
    <t>M04-P4</t>
  </si>
  <si>
    <t>M05-P1</t>
  </si>
  <si>
    <t>M05-P2</t>
  </si>
  <si>
    <t>M05-P3</t>
  </si>
  <si>
    <t>M05-P4</t>
  </si>
  <si>
    <t>M05-P5</t>
  </si>
  <si>
    <t>M05-P6</t>
  </si>
  <si>
    <t>M05-P7</t>
  </si>
  <si>
    <t>M06-P1</t>
  </si>
  <si>
    <t>M06-P2</t>
  </si>
  <si>
    <t>M06-P3</t>
  </si>
  <si>
    <t>M06-P4</t>
  </si>
  <si>
    <t>M06-P5</t>
  </si>
  <si>
    <t>M07-P1</t>
  </si>
  <si>
    <t>M07-P2</t>
  </si>
  <si>
    <t>M07-P3</t>
  </si>
  <si>
    <t>M07-P4</t>
  </si>
  <si>
    <t>M08-P1</t>
  </si>
  <si>
    <t>M08-P2</t>
  </si>
  <si>
    <t>M08-P3</t>
  </si>
  <si>
    <t>M08-P4</t>
  </si>
  <si>
    <t>M08-P5</t>
  </si>
  <si>
    <t>M08-P6</t>
  </si>
  <si>
    <t>M09-P1</t>
  </si>
  <si>
    <t>M09-P2</t>
  </si>
  <si>
    <t>M09-P3</t>
  </si>
  <si>
    <t>M09-P4</t>
  </si>
  <si>
    <t>ID_Maestra_Ref</t>
  </si>
  <si>
    <t>T20241101-1</t>
  </si>
  <si>
    <t>T20250221-1</t>
  </si>
  <si>
    <t>Dias_Para_Completar</t>
  </si>
  <si>
    <t>T20250708-2</t>
  </si>
  <si>
    <t>https://dpdhl.sharepoint.com/:f:/r/teams/CSManagement962/Shared%20Documents/General/Directorio%20COE/L1%20-%20KPIs?csf=1&amp;web=1&amp;e=RvBbxe</t>
  </si>
  <si>
    <t>T20250708-3</t>
  </si>
  <si>
    <t>T20250708-4</t>
  </si>
  <si>
    <t>https://app.getguru.com/folders/cXz9Lp4i/L1</t>
  </si>
  <si>
    <t>T20250708-5</t>
  </si>
  <si>
    <t>T20250708-6</t>
  </si>
  <si>
    <t>T20250708-7</t>
  </si>
  <si>
    <t>T20250708-8</t>
  </si>
  <si>
    <t>T20250708-9</t>
  </si>
  <si>
    <t>T20250708-10</t>
  </si>
  <si>
    <t>T20250708-11</t>
  </si>
  <si>
    <t>T20250708-12</t>
  </si>
  <si>
    <t>https://ppmt.dhl.com/ppmt/#/ppmt/auth</t>
  </si>
  <si>
    <t>T20250708-13</t>
  </si>
  <si>
    <t>T20250708-14</t>
  </si>
  <si>
    <t>T20250708-15</t>
  </si>
  <si>
    <t>T20250708-16</t>
  </si>
  <si>
    <t>https://dpdhl.sharepoint.com/:f:/r/teams/CSManagement962/Shared%20Documents/General/Directorio%20COE/L2%20JOB%20Description/2025?csf=1&amp;web=1&amp;e=SokMbq</t>
  </si>
  <si>
    <t>T20250708-17</t>
  </si>
  <si>
    <t>T20250708-18</t>
  </si>
  <si>
    <t>T20250708-19</t>
  </si>
  <si>
    <t>T20250708-20</t>
  </si>
  <si>
    <t>https://dpdhl.sharepoint.com/:f:/r/teams/CSManagement962/Shared%20Documents/General/Directorio%20COE/L2%20JOB%20Description/2025/Evidencia%20comunicaci%C3%B3n?csf=1&amp;web=1&amp;e=UF7SGr</t>
  </si>
  <si>
    <t>T20250708-21</t>
  </si>
  <si>
    <t>T20250708-22</t>
  </si>
  <si>
    <t>T20250708-23</t>
  </si>
  <si>
    <t>https://dpdhl.csod.com/LMS/catalog/Welcome.aspx?tab_page_id=-67&amp;tab_id=-1</t>
  </si>
  <si>
    <t>T20250708-24</t>
  </si>
  <si>
    <t>T20250708-25</t>
  </si>
  <si>
    <t>T20250708-26</t>
  </si>
  <si>
    <t>https://app.getguru.com/folders/TokX4aMc/L2</t>
  </si>
  <si>
    <t>T20250708-27</t>
  </si>
  <si>
    <t>T20250708-28</t>
  </si>
  <si>
    <t>T20250708-29</t>
  </si>
  <si>
    <t>https://app.getguru.com/folders/ixj7eBpT/Revisiones-de-equipo</t>
  </si>
  <si>
    <t>T20250708-30</t>
  </si>
  <si>
    <t>https://app.getguru.com/card/cgEbRpAi/COE-M3-M4-Daily-Reporting-CS-PA-</t>
  </si>
  <si>
    <t>T20250708-31</t>
  </si>
  <si>
    <t>https://dpdhl.sharepoint.com/:x:/r/teams/CSManagement962/Shared%20Documents/General/Directorio%20COE/L4%20Capacity%20FL/2025/Capacity/PA%20-%20WFM%20Tool%20Frontline%202025.xlsm?d=w67e1cbbeca88499180eaf51b9eba8bb3&amp;csf=1&amp;web=1&amp;e=v9L09M</t>
  </si>
  <si>
    <t>T20250708-32</t>
  </si>
  <si>
    <t>T20250708-33</t>
  </si>
  <si>
    <t>T20250708-34</t>
  </si>
  <si>
    <t>T20250708-35</t>
  </si>
  <si>
    <t>T20250708-36</t>
  </si>
  <si>
    <t>https://dpdhl.sharepoint.com/:f:/r/teams/CSManagement962/Shared%20Documents/General/Directorio%20COE/L4%20Capacity%20FL/2025/Monthly%20report?csf=1&amp;web=1&amp;e=MA6jfF</t>
  </si>
  <si>
    <t>T20250708-37</t>
  </si>
  <si>
    <t>https://dpdhl.sharepoint.com/:f:/r/teams/CSManagement962/Shared%20Documents/General/Directorio%20COE/L4%20Capacity%20FL/2025/Necesidad%20de%20re-forecast?csf=1&amp;web=1&amp;e=Dhv5LU</t>
  </si>
  <si>
    <t>T20250708-38</t>
  </si>
  <si>
    <t>https://dpdhl.sharepoint.com/:x:/r/teams/CSManagement962/Shared%20Documents/General/Directorio%20COE/L5%20Forecast%20accuracy%20FL/2025/PA%20Monthly%20Forecast%20Assessment%20Summary%202025.xlsx?d=w2a3a1abb459e4904bc00b4480718c25e&amp;csf=1&amp;web=1&amp;e=aoqopv</t>
  </si>
  <si>
    <t>T20250708-39</t>
  </si>
  <si>
    <t>https://dpdhl.sharepoint.com/:x:/r/teams/CSManagement962/Shared%20Documents/General/Directorio%20COE/L4%20Capacity%20FL/2025/Capacity/PA%20-%20WFM%20Tool%20Frontline%202025.xlsm?d=w67e1cbbeca88499180eaf51b9eba8bb3&amp;csf=1&amp;web=1&amp;e=7MLSz6</t>
  </si>
  <si>
    <t>T20250708-40</t>
  </si>
  <si>
    <t>https://dpdhl.sharepoint.com/:f:/r/teams/CSManagement962/Shared%20Documents/General/Directorio%20COE/L5%20Forecast%20accuracy%20FL/2025/Evidencia%20re-forecast?csf=1&amp;web=1&amp;e=jIxJWn</t>
  </si>
  <si>
    <t>T20250708-41</t>
  </si>
  <si>
    <t>https://dpdhl.sharepoint.com/:x:/r/teams/CSManagement962/Shared%20Documents/General/Directorio%20COE/L6%20Capacity%20mail%20chat/PA_DHLE%20mail-chat%20WFM%20Tool.xlsm?d=w47debcb92c0248c0a729f0963c16d922&amp;csf=1&amp;web=1&amp;e=bwIziq</t>
  </si>
  <si>
    <t>T20250708-42</t>
  </si>
  <si>
    <t>https://dpdhl.sharepoint.com/:f:/r/teams/CSManagement962/Shared%20Documents/General/Directorio%20COE/L6%20Capacity%20mail%20chat?csf=1&amp;web=1&amp;e=2joJXi</t>
  </si>
  <si>
    <t>T20250708-43</t>
  </si>
  <si>
    <t>https://dpdhl.sharepoint.com/:f:/r/teams/CSManagement962/Shared%20Documents/General/Directorio%20COE/L8-L10%20programaci%C3%B3n%20y%20overflow?csf=1&amp;web=1&amp;e=yl8Kq3</t>
  </si>
  <si>
    <t>T20250708-44</t>
  </si>
  <si>
    <t>T20250708-45</t>
  </si>
  <si>
    <t>https://dpdhl.sharepoint.com/:x:/r/teams/CSManagement962/Shared%20Documents/General/Directorio%20COE/L9%20Capacity%20BL/2025/PA_DHLE%20BL%20WFM%20Tool.xlsm?d=w111cf45345d340f9b13cb5612f97eb16&amp;csf=1&amp;web=1&amp;e=LjS4WN</t>
  </si>
  <si>
    <t>T20250708-46</t>
  </si>
  <si>
    <t>https://dpdhl.sharepoint.com/:f:/r/teams/CSManagement962/Shared%20Documents/General/Directorio%20COE/L9%20Capacity%20BL/2025/Balanceo%20Diario?csf=1&amp;web=1&amp;e=PVhja2</t>
  </si>
  <si>
    <t>T20250708-47</t>
  </si>
  <si>
    <t>T20250708-48</t>
  </si>
  <si>
    <t>https://dpdhl.sharepoint.com/:x:/r/teams/CSManagement962/Shared%20Documents/General/Directorio%20COE/L9%20Capacity%20BL/2025/CSA%20BL%20Tasks%202025.xlsx?d=w32ec743831a44361a041fe002b16478c&amp;csf=1&amp;web=1&amp;e=PDjraU</t>
  </si>
  <si>
    <t>T20250708-49</t>
  </si>
  <si>
    <t>https://dpdhl.sharepoint.com/:x:/r/teams/CSManagement962/Shared%20Documents/General/Directorio%20COE/L9%20Capacity%20BL/2025/Time%20%26%20Motion%202025_06_PA.xlsm?d=wcbe5a33cb566445e92220d67ae92428c&amp;csf=1&amp;web=1&amp;e=bvivbF</t>
  </si>
  <si>
    <t>T20250708-50</t>
  </si>
  <si>
    <t>T20250708-51</t>
  </si>
  <si>
    <t>https://dpdhl.sharepoint.com/:x:/r/teams/CSManagement962/Shared%20Documents/General/Directorio%20COE/L9%20Capacity%20BL/2025/PA%20-%20Shrinkage%20Calculator%202025.xlsm?d=wb3cbe9639f25489986bac96f06ee7eaa&amp;csf=1&amp;web=1&amp;e=ATvfWR</t>
  </si>
  <si>
    <t>T20250708-52</t>
  </si>
  <si>
    <t>https://dpdhl.sharepoint.com/:f:/r/teams/CSManagement962/Shared%20Documents/General/Directorio%20COE/L9%20Capacity%20BL/2025/Balance%20KAD%20trimestral?csf=1&amp;web=1&amp;e=jMhFJ2</t>
  </si>
  <si>
    <t>T20250708-53</t>
  </si>
  <si>
    <t>T20250708-54</t>
  </si>
  <si>
    <t>https://app.getguru.com/card/cbeMoL9i/Poltica-de-vacaciones-asistencia-y-permisos-PA</t>
  </si>
  <si>
    <t>T20250708-55</t>
  </si>
  <si>
    <t>https://app.getguru.com/folders/caBo7eXi/L11-Vacaciones</t>
  </si>
  <si>
    <t>T20250708-56</t>
  </si>
  <si>
    <t>T20250708-57</t>
  </si>
  <si>
    <t>https://dpdhl.sharepoint.com/:x:/r/teams/CSManagement962/Shared%20Documents/General/Directorio%20COE/L11%20Vacaciones/Vacaciones/2025/Actualizado%20Ausentes%20x%20d%C3%ADa%20tendencia.xlsx?d=w74c639d1d2f34d9bb9b825744a22d8f9&amp;csf=1&amp;web=1&amp;e=djdDJC</t>
  </si>
  <si>
    <t>T20250708-58</t>
  </si>
  <si>
    <t>https://dpdhl.sharepoint.com/:f:/r/teams/CSManagement962/Shared%20Documents/General/Directorio%20COE/L11%20Vacaciones/Vacaciones/2025?csf=1&amp;web=1&amp;e=TKXQce</t>
  </si>
  <si>
    <t>T20250708-59</t>
  </si>
  <si>
    <t>T20250708-60</t>
  </si>
  <si>
    <t>T20250708-61</t>
  </si>
  <si>
    <t>https://app.getguru.com/card/Ta8EeRyc/Politica-de-Buddies-L12</t>
  </si>
  <si>
    <t>T20250708-62</t>
  </si>
  <si>
    <t>T20250708-63</t>
  </si>
  <si>
    <t>https://dpdhl.sharepoint.com/:f:/r/teams/CSManagement962/Shared%20Documents/General/Directorio%20COE/L13%20Plan%20contingencia?csf=1&amp;web=1&amp;e=S8W3xQ</t>
  </si>
  <si>
    <t>T20250708-64</t>
  </si>
  <si>
    <t>T20250708-65</t>
  </si>
  <si>
    <t>T20250708-66</t>
  </si>
  <si>
    <t>https://gemaadmin.dhl.com/</t>
  </si>
  <si>
    <t>T20250708-67</t>
  </si>
  <si>
    <t>https://dpdhl.sharepoint.com/:f:/r/teams/CSManagement962/Shared%20Documents/General/Directorio%20COE/L13%20Plan%20contingencia?csf=1&amp;web=1&amp;e=xGgtoD</t>
  </si>
  <si>
    <t>T20250708-68</t>
  </si>
  <si>
    <t>T20250708-69</t>
  </si>
  <si>
    <t>T20250708-70</t>
  </si>
  <si>
    <t>T20250708-71</t>
  </si>
  <si>
    <t>T20250708-72</t>
  </si>
  <si>
    <t>https://app.getguru.com/card/irAaaEoT/Plan-de-contingencia-PA</t>
  </si>
  <si>
    <t>T20250708-73</t>
  </si>
  <si>
    <t>https://app.getguru.com/folders/TB78K8pc/L14-Cartera-KAD</t>
  </si>
  <si>
    <t>T20250708-74</t>
  </si>
  <si>
    <t>https://app.getguru.com/card/TeApyBqc/-LIST-MASTER-FILE-L15</t>
  </si>
  <si>
    <t>T20250708-75</t>
  </si>
  <si>
    <t>https://dpdhl.sharepoint.com/:f:/r/teams/CSManagement962/Shared%20Documents/General/Directorio%20COE/L4%20Capacity%20FL/2025/Contact%20Rate?csf=1&amp;web=1&amp;e=K5Ywpx</t>
  </si>
  <si>
    <t>T20250708-76</t>
  </si>
  <si>
    <t>https://dpdhl.sharepoint.com/:f:/r/teams/CSManagement962/Shared%20Documents/General/Directorio%20COE/L17%20-%20HC%20%26%20Ftes/2025?csf=1&amp;web=1&amp;e=M5SKnQ</t>
  </si>
  <si>
    <t>T20250708-77</t>
  </si>
  <si>
    <t>https://app.getguru.com/card/TyrbBrGc/Target-mensual-Upselling-y-Lead</t>
  </si>
  <si>
    <t>T20250708-78</t>
  </si>
  <si>
    <t>T20250708-79</t>
  </si>
  <si>
    <t>https://app.getguru.com/folders/TXzyzzEc/L19-Campaas</t>
  </si>
  <si>
    <t>T20250708-80</t>
  </si>
  <si>
    <t>https://app.getguru.com/card/caAoKegi/Procedimiento-Hunter</t>
  </si>
  <si>
    <t>T20250708-81</t>
  </si>
  <si>
    <t>T20250708-82</t>
  </si>
  <si>
    <t>T20250708-83</t>
  </si>
  <si>
    <t>https://app.getguru.com/folders/cjRrgdBi/Servicios-Opcionales-de-Ventas</t>
  </si>
  <si>
    <t>T20250708-84</t>
  </si>
  <si>
    <t>https://app.getguru.com/card/TLx8MaEc/SLA-COMERCIAL-CS-SALES-LEADS-</t>
  </si>
  <si>
    <t>T20250708-85</t>
  </si>
  <si>
    <t>https://dpdhl.sharepoint.com/:f:/r/teams/CSManagement962/Shared%20Documents/General/Directorio%20COE/L22%20-%20Revenue%20generation/2025?csf=1&amp;web=1&amp;e=4JUXeP</t>
  </si>
  <si>
    <t>T20250708-86</t>
  </si>
  <si>
    <t>https://app.powerbi.com/groups/me/reports/7ca293f4-a52b-4748-8921-a87ad1a9cd85/ReportSection96d9daa09ff2e0f2f145?ctid=cd99fef8-1cd3-4a2a-9bdf-15531181d65e&amp;experience=power-bi</t>
  </si>
  <si>
    <t>T20250708-87</t>
  </si>
  <si>
    <t>T20250708-88</t>
  </si>
  <si>
    <t>T20250708-89</t>
  </si>
  <si>
    <t>https://dpdhl.sharepoint.com/:f:/r/teams/CSManagement962/Shared%20Documents/General/Directorio%20COE/M1/2025?csf=1&amp;web=1&amp;e=2h1eFv</t>
  </si>
  <si>
    <t>T20250708-90</t>
  </si>
  <si>
    <t>https://dpdhl.sharepoint.com/:f:/r/teams/CSManagement962/Shared%20Documents/General/Directorio%20COE/M1/2025/Evidencia?csf=1&amp;web=1&amp;e=1p8UFG</t>
  </si>
  <si>
    <t>T20250708-91</t>
  </si>
  <si>
    <t>T20250708-92</t>
  </si>
  <si>
    <t>https://dpdhl.sharepoint.com/:f:/r/teams/CSManagement962/Shared%20Documents/General/Directorio%20COE/M1/2025/Main%20offenders?csf=1&amp;web=1&amp;e=rkY415</t>
  </si>
  <si>
    <t>T20250708-93</t>
  </si>
  <si>
    <t>T20250708-94</t>
  </si>
  <si>
    <t>https://dpdhl.sharepoint.com/:f:/r/teams/CSManagement962/Shared%20Documents/General/Directorio%20COE/M2%20-%20VOICE%20-%20NPS?csf=1&amp;web=1&amp;e=ttdYZq</t>
  </si>
  <si>
    <t>T20250708-95</t>
  </si>
  <si>
    <t>T20250708-96</t>
  </si>
  <si>
    <t>https://dpdhl.sharepoint.com/:f:/r/teams/CSManagement962/Shared%20Documents/General/Directorio%20COE/M3%20-%20Reportes/2nd%20y%203rd%20escalation?csf=1&amp;web=1&amp;e=fH3eSr</t>
  </si>
  <si>
    <t>T20250708-97</t>
  </si>
  <si>
    <t>https://dpdhl.sharepoint.com/:f:/r/teams/CSManagement962/Shared%20Documents/General/Directorio%20COE/M3%20-%20Reportes/Casos%20x%20Cerrar?csf=1&amp;web=1&amp;e=pTiEBB</t>
  </si>
  <si>
    <t>T20250708-98</t>
  </si>
  <si>
    <t>https://dpdhl.sharepoint.com/:f:/r/teams/CSManagement962/Shared%20Documents/General/Directorio%20COE/M3%20-%20Reportes/Daily%20Customer%20Service%20Performance%20Report?csf=1&amp;web=1&amp;e=hUsw3t</t>
  </si>
  <si>
    <t>T20250708-99</t>
  </si>
  <si>
    <t>https://dpdhl.sharepoint.com/:f:/r/teams/CSManagement962/Shared%20Documents/General/Directorio%20COE/M3%20-%20Reportes/IVR?csf=1&amp;web=1&amp;e=m8vXcg</t>
  </si>
  <si>
    <t>T20250708-100</t>
  </si>
  <si>
    <t>https://dpdhl.sharepoint.com/:f:/r/teams/CSManagement962/Shared%20Documents/General/Directorio%20COE/M3%20-%20Reportes/MCT%20PA%20Report?csf=1&amp;web=1&amp;e=ObM0PZ</t>
  </si>
  <si>
    <t>T20250708-101</t>
  </si>
  <si>
    <t>https://app.powerbi.com/groups/me/apps/a91e7e0a-1652-440f-8f81-79fa9459f076/reports/e7d5de1f-4e51-45de-a0b6-ee08e97b1b3a/ReportSection?ctid=cd99fef8-1cd3-4a2a-9bdf-15531181d65e&amp;experience=power-bi</t>
  </si>
  <si>
    <t>T20250708-102</t>
  </si>
  <si>
    <t>https://app.powerbi.com/groups/me/apps/a91e7e0a-1652-440f-8f81-79fa9459f076/reports/3cbaff75-757e-4736-86c5-6a5a6ad7fe62/ReportSection?ctid=cd99fef8-1cd3-4a2a-9bdf-15531181d65e&amp;experience=power-bi</t>
  </si>
  <si>
    <t>T20250708-103</t>
  </si>
  <si>
    <t>T20250708-104</t>
  </si>
  <si>
    <t>https://dpdhl.sharepoint.com/:f:/r/teams/CSManagement962/Shared%20Documents/General/Directorio%20COE/M3%20-%20Reportes/PPMT?csf=1&amp;web=1&amp;e=BO2pEW</t>
  </si>
  <si>
    <t>T20250708-105</t>
  </si>
  <si>
    <t>https://dpdhl.sharepoint.com/:x:/r/teams/CSManagement962/Shared%20Documents/General/Directorio%20COE/P1%20-%20Incentivos%20CS/2025/scorecard-summary-export%202025.xlsx?d=w6e19525b55f6457d918d69c357d79c10&amp;csf=1&amp;web=1&amp;e=bwsk1M</t>
  </si>
  <si>
    <t>T20250708-106</t>
  </si>
  <si>
    <t>https://dpdhl.sharepoint.com/:f:/r/teams/CSManagement962/Shared%20Documents/General/Directorio%20COE/M4%20-%20Consistencia%20datos?csf=1&amp;web=1&amp;e=S6x70T</t>
  </si>
  <si>
    <t>T20250708-107</t>
  </si>
  <si>
    <t>https://dpdhl.sharepoint.com/:f:/r/teams/CSManagement962/Shared%20Documents/General/Directorio%20COE/M5%20-%20Performance%20Review/CARPETA%20FEEEDBACK%202025?csf=1&amp;web=1&amp;e=iyqjjQ</t>
  </si>
  <si>
    <t>T20250708-108</t>
  </si>
  <si>
    <t>T20250708-109</t>
  </si>
  <si>
    <t>https://dpdhl.sharepoint.com/:f:/r/teams/CSManagement962/Shared%20Documents/General/Directorio%20COE/M6%20-%20seguimiento%20monitoreos/2025?csf=1&amp;web=1&amp;e=tJyoXG</t>
  </si>
  <si>
    <t>T20250708-110</t>
  </si>
  <si>
    <t>https://app.getguru.com/folders/c9b4xoqi/M6-anlisis-monitoreos</t>
  </si>
  <si>
    <t>T20250708-111</t>
  </si>
  <si>
    <t>T20250708-112</t>
  </si>
  <si>
    <t>T20250708-113</t>
  </si>
  <si>
    <t>https://dpdhl.sharepoint.com/:f:/r/teams/CSManagement962/Shared%20Documents/General/Directorio%20COE/P4%20-%20Roadmap/2025/Evidencia?csf=1&amp;web=1&amp;e=yBEhTo</t>
  </si>
  <si>
    <t>T20250708-114</t>
  </si>
  <si>
    <t>T20250708-115</t>
  </si>
  <si>
    <t>T20250708-116</t>
  </si>
  <si>
    <t>https://dpdhl.sharepoint.com/:f:/r/teams/CSManagement962/Shared%20Documents/General/Directorio%20COE/M7%20-%20Mystery%20Shopper?csf=1&amp;web=1&amp;e=q3WY5n</t>
  </si>
  <si>
    <t>T20250708-117</t>
  </si>
  <si>
    <t>https://app.powerbi.com/groups/me/apps/a91e7e0a-1652-440f-8f81-79fa9459f076/reports/d77cde04-8a10-48a7-92d7-d7413fd3b367/00707e2f9dc3cd968894?ctid=cd99fef8-1cd3-4a2a-9bdf-15531181d65e&amp;experience=power-bi</t>
  </si>
  <si>
    <t>T20250708-118</t>
  </si>
  <si>
    <t>https://dpdhl.sharepoint.com/:f:/r/teams/CSManagement962/Shared%20Documents/General/Directorio%20COE/M8%20-%20Analisis%20MS-monitoreos?csf=1&amp;web=1&amp;e=6i8MG0</t>
  </si>
  <si>
    <t>T20250708-119</t>
  </si>
  <si>
    <t>https://app.getguru.com/folders/ikdoLXeT/P1</t>
  </si>
  <si>
    <t>T20250708-120</t>
  </si>
  <si>
    <t>https://dpdhl.sharepoint.com/:f:/r/teams/CSManagement962/Shared%20Documents/General/Directorio%20COE/P1%20-%20Incentivos%20CS/2025/Calculo%20comisiones?csf=1&amp;web=1&amp;e=Q9HYWo</t>
  </si>
  <si>
    <t>T20250708-121</t>
  </si>
  <si>
    <t>https://dpdhl.sharepoint.com/:f:/r/teams/CSManagement962/Shared%20Documents/General/Directorio%20COE/P1%20-%20Incentivos%20CS/2025?csf=1&amp;web=1&amp;e=jBZOOK</t>
  </si>
  <si>
    <t>T20250708-122</t>
  </si>
  <si>
    <t>T20250708-123</t>
  </si>
  <si>
    <t>T20250708-124</t>
  </si>
  <si>
    <t>T20250708-125</t>
  </si>
  <si>
    <t>https://app.getguru.com/card/czAkLdRi/Instructivo-empleados-del-mes-y-del-ao-2025</t>
  </si>
  <si>
    <t>T20250708-126</t>
  </si>
  <si>
    <t>T20250708-127</t>
  </si>
  <si>
    <t>T20250708-128</t>
  </si>
  <si>
    <t>T20250708-129</t>
  </si>
  <si>
    <t>https://dpdhl.sharepoint.com/:f:/r/teams/CSManagement962/Shared%20Documents/General/Directorio%20COE/P4%20-%20Roadmap/2025?csf=1&amp;web=1&amp;e=BtT13Q</t>
  </si>
  <si>
    <t>T20250708-130</t>
  </si>
  <si>
    <t>T20250708-131</t>
  </si>
  <si>
    <t>https://app.getguru.com/card/TpRMeXKc/P4-Roadmap</t>
  </si>
  <si>
    <t>T20250708-132</t>
  </si>
  <si>
    <t>T20250708-133</t>
  </si>
  <si>
    <t>T20250708-134</t>
  </si>
  <si>
    <t>T20250708-135</t>
  </si>
  <si>
    <t>T20250708-136</t>
  </si>
  <si>
    <t>T20250708-137</t>
  </si>
  <si>
    <t>T20250708-138</t>
  </si>
  <si>
    <t>https://app.getguru.com/card/TER9nezc/M5-FEEDBACKS-</t>
  </si>
  <si>
    <t>T20250708-139</t>
  </si>
  <si>
    <t>T20250708-140</t>
  </si>
  <si>
    <t>T20250708-141</t>
  </si>
  <si>
    <t>T20250708-142</t>
  </si>
  <si>
    <t>https://dpdhl.sharepoint.com/:f:/r/teams/CSManagement962/Shared%20Documents/General/Directorio%20COE/P5%20Quiz?csf=1&amp;web=1&amp;e=U3iIF5</t>
  </si>
  <si>
    <t>T20250708-143</t>
  </si>
  <si>
    <t>https://app.getguru.com/card/TARdK9Mc/Skill-Verification-Quiz</t>
  </si>
  <si>
    <t>T20250708-144</t>
  </si>
  <si>
    <t>https://dpdhl.sharepoint.com/:f:/r/teams/CSManagement962/Shared%20Documents/General/Directorio%20COE/P7%20-%20Coaching/2025?csf=1&amp;web=1&amp;e=IeTkiZ</t>
  </si>
  <si>
    <t>T20250708-145</t>
  </si>
  <si>
    <t>T20250708-146</t>
  </si>
  <si>
    <t>T20250708-147</t>
  </si>
  <si>
    <t>T20250708-148</t>
  </si>
  <si>
    <t>http://am-node-awe.dpdhl.com/wfo/control/signout?_=1751564804324</t>
  </si>
  <si>
    <t>T20250708-149</t>
  </si>
  <si>
    <t>https://app.getguru.com/card/iR57EeMT/P7-Coaching-Form</t>
  </si>
  <si>
    <t>T20250708-150</t>
  </si>
  <si>
    <t>T20250708-151</t>
  </si>
  <si>
    <t>T20250708-152</t>
  </si>
  <si>
    <t>https://csacademy.dhl.com/#/</t>
  </si>
  <si>
    <t>T20250708-153</t>
  </si>
  <si>
    <t>T20250708-154</t>
  </si>
  <si>
    <t>T20250708-155</t>
  </si>
  <si>
    <t>T20250708-156</t>
  </si>
  <si>
    <t>T20250708-157</t>
  </si>
  <si>
    <t>T20250708-158</t>
  </si>
  <si>
    <t>T20250708-159</t>
  </si>
  <si>
    <t>T20250708-160</t>
  </si>
  <si>
    <t>T20250708-161</t>
  </si>
  <si>
    <t>T20250708-162</t>
  </si>
  <si>
    <t>https://dpdhl.sharepoint.com/:f:/r/teams/CSManagement962/Shared%20Documents/General/Directorio%20COE/P10%20-%20Monitoreos%20de%20Calidad?csf=1&amp;web=1&amp;e=Q5eJNR</t>
  </si>
  <si>
    <t>T20250708-163</t>
  </si>
  <si>
    <t>T20250708-164</t>
  </si>
  <si>
    <t>T20250708-165</t>
  </si>
  <si>
    <t>https://app.getguru.com/card/cMxE7dRi/AUDITORIAS-MENSUALES-DE-CALIDAD</t>
  </si>
  <si>
    <t>T20250708-166</t>
  </si>
  <si>
    <t>T20250708-167</t>
  </si>
  <si>
    <t>T20250708-168</t>
  </si>
  <si>
    <t>https://app.getguru.com/card/cdz8Rxei/Calendario-de-Actividades-CS-2024</t>
  </si>
  <si>
    <t>T20250708-169</t>
  </si>
  <si>
    <t>T20250708-170</t>
  </si>
  <si>
    <t>T20250708-171</t>
  </si>
  <si>
    <t>https://getreport.dpdhl.com/2024/login/</t>
  </si>
  <si>
    <t>T20250708-172</t>
  </si>
  <si>
    <t>T20250708-173</t>
  </si>
  <si>
    <t>T20250708-174</t>
  </si>
  <si>
    <t>T20250708-175</t>
  </si>
  <si>
    <t>T20250708-176</t>
  </si>
  <si>
    <t>https://app.getguru.com/card/TdXbBnyc/RB-PROCESS-</t>
  </si>
  <si>
    <t>T20250708-177</t>
  </si>
  <si>
    <t>https://app.getguru.com/card/TKx97XMc/T3-Registro-de-Bookings</t>
  </si>
  <si>
    <t>T20250708-178</t>
  </si>
  <si>
    <t>https://app.getguru.com/card/TgE7b5Mc/POLITICAS-DE-NTP-CC-</t>
  </si>
  <si>
    <t>T20250708-179</t>
  </si>
  <si>
    <t>https://app.getguru.com/card/cMxLGr7i/PROGRAMACION-DE-CALL-BACK-EN-CASO</t>
  </si>
  <si>
    <t>T20250708-180</t>
  </si>
  <si>
    <t>T20250708-181</t>
  </si>
  <si>
    <t>https://dpdhl.sharepoint.com/:f:/r/teams/CSManagement962/Shared%20Documents/General/Directorio%20COE/T6/FEEDBACK%20CB%202025?csf=1&amp;web=1&amp;e=QOS7Wc</t>
  </si>
  <si>
    <t>T20250708-182</t>
  </si>
  <si>
    <t>T20250708-183</t>
  </si>
  <si>
    <t>T20250708-184</t>
  </si>
  <si>
    <t>https://dpdhl.sharepoint.com/:f:/r/teams/CSManagement962/Shared%20Documents/General/Directorio%20COE/T9%20-%20empoderamiento?csf=1&amp;web=1&amp;e=3VP8Cw</t>
  </si>
  <si>
    <t>T20250708-185</t>
  </si>
  <si>
    <t>https://app.getguru.com/folders/cRj4ekai/Empowerment</t>
  </si>
  <si>
    <t>T20250708-186</t>
  </si>
  <si>
    <t>T20250708-187</t>
  </si>
  <si>
    <t>T20250708-188</t>
  </si>
  <si>
    <t>https://app.getguru.com/card/io8opzpT/CARTAS-EN-GEMA-</t>
  </si>
  <si>
    <t>T20250708-189</t>
  </si>
  <si>
    <t>https://gema.dhl.com/jsp/loginDiv.jsf?message=errors.login.sessionTimedOut&amp;shipment=3683544056~8430132653~1250109630&amp;Request=&amp;piece=</t>
  </si>
  <si>
    <t>T20250708-190</t>
  </si>
  <si>
    <t>T20250708-191</t>
  </si>
  <si>
    <t>https://kart3.dhl.com/kart/auth/login</t>
  </si>
  <si>
    <t>T20250708-192</t>
  </si>
  <si>
    <t>https://app.powerbi.com/groups/me/apps/a91e7e0a-1652-440f-8f81-79fa9459f076/reports/65847ead-08b4-4567-81d9-73a94e23a4d1/ReportSectionc9f6c0c6957f3df2e94d?ctid=cd99fef8-1cd3-4a2a-9bdf-15531181d65e&amp;experience=power-bi</t>
  </si>
  <si>
    <t>T20250708-193</t>
  </si>
  <si>
    <t>T20250708-194</t>
  </si>
  <si>
    <t>https://dpdhl.sharepoint.com/:f:/r/teams/CSManagement962/Shared%20Documents/General/Directorio%20COE/T13-%20An%C3%A1lisis%20GVA?csf=1&amp;web=1&amp;e=yNY9Qq</t>
  </si>
  <si>
    <t>T20250708-195</t>
  </si>
  <si>
    <t>https://dpdhl.sharepoint.com/:f:/r/teams/CSManagement962/Shared%20Documents/General/Directorio%20COE/T14%20FDS?csf=1&amp;web=1&amp;e=4gtzpQ</t>
  </si>
  <si>
    <t>T20250708-196</t>
  </si>
  <si>
    <t>T20250708-197</t>
  </si>
  <si>
    <t>https://dpdhl.sharepoint.com/:f:/r/teams/CSManagement962/Shared%20Documents/General/Directorio%20COE/T15%20(%20IVR.%20Customizaciones%20y%20An%C3%A1lisis)?csf=1&amp;web=1&amp;e=YYrNk6</t>
  </si>
  <si>
    <t>T20250708-198</t>
  </si>
  <si>
    <t>T20250708-199</t>
  </si>
  <si>
    <t>https://dpdhl.sharepoint.com/:f:/r/teams/CSManagement962/Shared%20Documents/General/Directorio%20COE/T14%20FDS?csf=1&amp;web=1&amp;e=MP53DF</t>
  </si>
  <si>
    <t>T20250708-200</t>
  </si>
  <si>
    <t>T20250709-201</t>
  </si>
  <si>
    <t>T20250709-202</t>
  </si>
  <si>
    <t>T20250709-203</t>
  </si>
  <si>
    <t>T20250709-204</t>
  </si>
  <si>
    <t>T20250709-205</t>
  </si>
  <si>
    <t>T20250709-206</t>
  </si>
  <si>
    <t>T20250709-207</t>
  </si>
  <si>
    <t>T20250709-208</t>
  </si>
  <si>
    <t>T20250709-209</t>
  </si>
  <si>
    <t>T20250709-210</t>
  </si>
  <si>
    <t>T20250709-211</t>
  </si>
  <si>
    <t>T20250709-212</t>
  </si>
  <si>
    <t>T20250709-213</t>
  </si>
  <si>
    <t>T20250709-214</t>
  </si>
  <si>
    <t>T20250709-215</t>
  </si>
  <si>
    <t>T20250709-216</t>
  </si>
  <si>
    <t>T20250709-217</t>
  </si>
  <si>
    <t>T20250709-218</t>
  </si>
  <si>
    <t>T20250709-219</t>
  </si>
  <si>
    <t>T20250709-220</t>
  </si>
  <si>
    <t>T20250709-221</t>
  </si>
  <si>
    <t>T20250709-222</t>
  </si>
  <si>
    <t>T20250709-223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</si>
</sst>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u/>
      <sz val="11"/>
      <color theme="10"/>
      <name val="Calibri"/>
      <family val="2"/>
      <scheme val="minor"/>
    </font>
    <font>
      <b/>
      <sz val="11"/>
      <color theme="1"/>
      <name val="Calibri"/>
      <family val="2"/>
      <scheme val="minor"/>
    </font>
    <font>
      <b/>
      <sz val="13.5"/>
      <color theme="1"/>
      <name val="Times New Roman"/>
      <family val="1"/>
    </font>
    <font>
      <b/>
      <sz val="12"/>
      <color theme="1"/>
      <name val="Times New Roman"/>
      <family val="1"/>
    </font>
    <font>
      <sz val="12"/>
      <color theme="1"/>
      <name val="Times New Roman"/>
      <family val="1"/>
    </font>
    <font>
      <b/>
      <sz val="12"/>
      <color rgb="FFFF0000"/>
      <name val="Times New Roman"/>
      <family val="1"/>
    </font>
    <font>
      <sz val="12"/>
      <color rgb="FFFF0000"/>
      <name val="Times New Roman"/>
      <family val="1"/>
    </font>
    <font>
      <sz val="9"/>
      <color indexed="81"/>
      <name val="Tahoma"/>
      <family val="2"/>
    </font>
    <font>
      <sz val="20"/>
      <color theme="1"/>
      <name val="Calibri"/>
      <family val="2"/>
      <scheme val="minor"/>
    </font>
    <font>
      <sz val="11"/>
      <name val="Calibri"/>
      <family val="2"/>
      <scheme val="minor"/>
    </font>
    <font>
      <b/>
      <sz val="9"/>
      <color indexed="81"/>
      <name val="Tahoma"/>
      <family val="2"/>
    </font>
    <font>
      <b/>
      <sz val="11"/>
      <color rgb="FFC00000"/>
      <name val="Calibri"/>
      <family val="2"/>
    </font>
    <font>
      <b/>
      <sz val="11"/>
      <color rgb="FFFFFFFF"/>
      <name val="Calibri"/>
      <family val="2"/>
      <scheme val="minor"/>
    </font>
    <font>
      <b/>
      <sz val="11"/>
      <color theme="0"/>
      <name val="Calibri"/>
      <family val="2"/>
      <scheme val="minor"/>
    </font>
    <font>
      <b/>
      <sz val="11"/>
      <color rgb="FFC00000"/>
      <name val="Calibri"/>
      <family val="2"/>
      <scheme val="minor"/>
    </font>
  </fonts>
  <fills count="15">
    <fill>
      <patternFill patternType="none"/>
    </fill>
    <fill>
      <patternFill patternType="gray125"/>
    </fill>
    <fill>
      <patternFill patternType="solid">
        <fgColor rgb="FFFFC000"/>
        <bgColor indexed="64"/>
      </patternFill>
    </fill>
    <fill>
      <patternFill patternType="solid">
        <fgColor rgb="FFFFBF00"/>
        <bgColor indexed="64"/>
      </patternFill>
    </fill>
    <fill>
      <patternFill patternType="solid">
        <fgColor theme="7" tint="0.59999389629810485"/>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
      <patternFill patternType="solid">
        <fgColor rgb="FFFFE4C4"/>
        <bgColor indexed="64"/>
      </patternFill>
    </fill>
    <fill>
      <patternFill patternType="solid">
        <fgColor rgb="FF00B050"/>
        <bgColor indexed="64"/>
      </patternFill>
    </fill>
    <fill>
      <patternFill patternType="solid">
        <fgColor theme="7" tint="0.39997558519241921"/>
        <bgColor indexed="64"/>
      </patternFill>
    </fill>
    <fill>
      <patternFill patternType="solid">
        <fgColor theme="0" tint="-0.49998474074526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 fillId="0" borderId="0" applyNumberFormat="0" applyFill="0" applyBorder="0" applyAlignment="0" applyProtection="0"/>
  </cellStyleXfs>
  <cellXfs count="151">
    <xf numFmtId="0" fontId="0" fillId="0" borderId="0" xfId="0"/>
    <xf numFmtId="0" fontId="0" fillId="0" borderId="1" xfId="0" applyBorder="1"/>
    <xf numFmtId="0" fontId="0" fillId="2" borderId="1" xfId="0" applyFill="1" applyBorder="1"/>
    <xf numFmtId="0" fontId="0" fillId="0" borderId="1" xfId="0" applyBorder="1" applyAlignment="1">
      <alignment horizontal="center"/>
    </xf>
    <xf numFmtId="0" fontId="0" fillId="0" borderId="1" xfId="0" applyBorder="1" applyAlignment="1">
      <alignment wrapText="1"/>
    </xf>
    <xf numFmtId="0" fontId="0" fillId="2" borderId="1" xfId="0" applyFill="1" applyBorder="1" applyAlignment="1">
      <alignment horizontal="center"/>
    </xf>
    <xf numFmtId="0" fontId="0" fillId="0" borderId="1" xfId="0" applyBorder="1" applyAlignment="1">
      <alignment horizontal="center" wrapText="1"/>
    </xf>
    <xf numFmtId="0" fontId="1" fillId="0" borderId="1" xfId="1" applyBorder="1" applyAlignment="1">
      <alignment wrapText="1"/>
    </xf>
    <xf numFmtId="0" fontId="0" fillId="2" borderId="1" xfId="0" applyFill="1" applyBorder="1" applyAlignment="1">
      <alignment horizontal="center" wrapText="1"/>
    </xf>
    <xf numFmtId="14" fontId="0" fillId="0" borderId="1" xfId="0" applyNumberFormat="1" applyBorder="1" applyAlignment="1">
      <alignment horizontal="center" wrapText="1"/>
    </xf>
    <xf numFmtId="0" fontId="1" fillId="0" borderId="1" xfId="1" applyBorder="1"/>
    <xf numFmtId="0" fontId="2" fillId="3" borderId="1" xfId="0" applyFont="1"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0" xfId="0" applyFill="1"/>
    <xf numFmtId="0" fontId="0" fillId="2" borderId="6" xfId="0" applyFill="1" applyBorder="1"/>
    <xf numFmtId="0" fontId="0" fillId="4" borderId="2" xfId="0" applyFill="1" applyBorder="1"/>
    <xf numFmtId="0" fontId="0" fillId="4" borderId="3" xfId="0" applyFill="1" applyBorder="1"/>
    <xf numFmtId="0" fontId="0" fillId="4" borderId="4" xfId="0" applyFill="1" applyBorder="1"/>
    <xf numFmtId="0" fontId="0" fillId="2" borderId="5" xfId="0" applyFill="1" applyBorder="1" applyAlignment="1">
      <alignment horizontal="center"/>
    </xf>
    <xf numFmtId="0" fontId="0" fillId="5" borderId="0" xfId="0" applyFill="1"/>
    <xf numFmtId="0" fontId="0" fillId="2" borderId="10" xfId="0" applyFill="1" applyBorder="1"/>
    <xf numFmtId="0" fontId="0" fillId="2" borderId="11" xfId="0" applyFill="1" applyBorder="1"/>
    <xf numFmtId="0" fontId="0" fillId="2" borderId="11" xfId="0" applyFill="1" applyBorder="1" applyAlignment="1">
      <alignment horizontal="center"/>
    </xf>
    <xf numFmtId="0" fontId="0" fillId="2" borderId="11" xfId="0" applyFill="1" applyBorder="1" applyAlignment="1">
      <alignment wrapText="1"/>
    </xf>
    <xf numFmtId="0" fontId="0" fillId="2" borderId="11" xfId="0" applyFill="1" applyBorder="1" applyAlignment="1">
      <alignment horizontal="center" wrapText="1"/>
    </xf>
    <xf numFmtId="0" fontId="0" fillId="2" borderId="12" xfId="0" applyFill="1" applyBorder="1" applyAlignment="1">
      <alignment horizontal="center" wrapText="1"/>
    </xf>
    <xf numFmtId="0" fontId="0" fillId="0" borderId="13" xfId="0" applyBorder="1"/>
    <xf numFmtId="0" fontId="0" fillId="0" borderId="13" xfId="0" applyBorder="1" applyAlignment="1">
      <alignment horizontal="center"/>
    </xf>
    <xf numFmtId="0" fontId="0" fillId="0" borderId="13" xfId="0" applyBorder="1" applyAlignment="1">
      <alignment wrapText="1"/>
    </xf>
    <xf numFmtId="14" fontId="0" fillId="0" borderId="13" xfId="0" applyNumberFormat="1" applyBorder="1" applyAlignment="1">
      <alignment horizontal="center" wrapText="1"/>
    </xf>
    <xf numFmtId="0" fontId="0" fillId="0" borderId="13" xfId="0" applyBorder="1" applyAlignment="1">
      <alignment horizontal="center" wrapText="1"/>
    </xf>
    <xf numFmtId="0" fontId="1" fillId="0" borderId="13" xfId="1" applyBorder="1" applyAlignment="1">
      <alignment wrapText="1"/>
    </xf>
    <xf numFmtId="0" fontId="3" fillId="0" borderId="0" xfId="0" applyFont="1" applyAlignment="1">
      <alignment vertical="center"/>
    </xf>
    <xf numFmtId="0" fontId="3" fillId="6" borderId="2" xfId="0" applyFont="1" applyFill="1" applyBorder="1" applyAlignment="1">
      <alignment vertical="center"/>
    </xf>
    <xf numFmtId="0" fontId="0" fillId="6" borderId="3" xfId="0" applyFill="1" applyBorder="1"/>
    <xf numFmtId="0" fontId="0" fillId="6" borderId="4" xfId="0" applyFill="1" applyBorder="1"/>
    <xf numFmtId="0" fontId="3" fillId="6" borderId="5" xfId="0" applyFont="1" applyFill="1" applyBorder="1" applyAlignment="1">
      <alignment vertical="center"/>
    </xf>
    <xf numFmtId="0" fontId="0" fillId="6" borderId="0" xfId="0" applyFill="1"/>
    <xf numFmtId="0" fontId="0" fillId="6" borderId="6" xfId="0" applyFill="1" applyBorder="1"/>
    <xf numFmtId="0" fontId="4" fillId="6" borderId="5" xfId="0" applyFont="1" applyFill="1" applyBorder="1" applyAlignment="1">
      <alignment vertical="center"/>
    </xf>
    <xf numFmtId="0" fontId="5" fillId="6" borderId="5" xfId="0" applyFont="1" applyFill="1" applyBorder="1" applyAlignment="1">
      <alignment horizontal="left" vertical="center" wrapText="1"/>
    </xf>
    <xf numFmtId="0" fontId="5" fillId="6" borderId="0" xfId="0" applyFont="1" applyFill="1" applyAlignment="1">
      <alignment horizontal="left" vertical="center" wrapText="1"/>
    </xf>
    <xf numFmtId="0" fontId="5" fillId="6" borderId="6" xfId="0" applyFont="1" applyFill="1" applyBorder="1" applyAlignment="1">
      <alignment horizontal="left" vertical="center" wrapText="1"/>
    </xf>
    <xf numFmtId="0" fontId="5" fillId="6" borderId="5" xfId="0" applyFont="1" applyFill="1" applyBorder="1" applyAlignment="1">
      <alignment vertical="center"/>
    </xf>
    <xf numFmtId="0" fontId="0" fillId="6" borderId="5" xfId="0" applyFill="1" applyBorder="1" applyAlignment="1">
      <alignment horizontal="left" vertical="center" indent="1"/>
    </xf>
    <xf numFmtId="0" fontId="4" fillId="6" borderId="5" xfId="0" applyFont="1" applyFill="1" applyBorder="1" applyAlignment="1">
      <alignment horizontal="left" vertical="center"/>
    </xf>
    <xf numFmtId="0" fontId="4" fillId="6" borderId="5" xfId="0" applyFont="1" applyFill="1" applyBorder="1" applyAlignment="1">
      <alignment horizontal="left" vertical="center" indent="1"/>
    </xf>
    <xf numFmtId="0" fontId="5" fillId="6" borderId="5" xfId="0" applyFont="1" applyFill="1" applyBorder="1" applyAlignment="1">
      <alignment horizontal="left" vertical="center" indent="2"/>
    </xf>
    <xf numFmtId="0" fontId="4" fillId="6" borderId="5" xfId="0" applyFont="1" applyFill="1" applyBorder="1" applyAlignment="1">
      <alignment horizontal="left" vertical="center" indent="2"/>
    </xf>
    <xf numFmtId="0" fontId="0" fillId="6" borderId="7" xfId="0" applyFill="1" applyBorder="1"/>
    <xf numFmtId="0" fontId="0" fillId="6" borderId="8" xfId="0" applyFill="1" applyBorder="1"/>
    <xf numFmtId="0" fontId="0" fillId="6" borderId="9" xfId="0" applyFill="1" applyBorder="1"/>
    <xf numFmtId="0" fontId="0" fillId="2" borderId="1" xfId="0" applyFill="1" applyBorder="1" applyProtection="1">
      <protection locked="0"/>
    </xf>
    <xf numFmtId="0" fontId="0" fillId="2" borderId="1" xfId="0" applyFill="1" applyBorder="1" applyAlignment="1" applyProtection="1">
      <alignment horizontal="center"/>
      <protection locked="0"/>
    </xf>
    <xf numFmtId="0" fontId="0" fillId="0" borderId="1" xfId="0" applyBorder="1" applyAlignment="1" applyProtection="1">
      <alignment wrapText="1"/>
      <protection locked="0"/>
    </xf>
    <xf numFmtId="0" fontId="0" fillId="0" borderId="0" xfId="0" pivotButton="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7" borderId="0" xfId="0" applyFill="1"/>
    <xf numFmtId="0" fontId="2" fillId="0" borderId="0" xfId="0" applyFont="1"/>
    <xf numFmtId="164" fontId="0" fillId="0" borderId="0" xfId="0" applyNumberFormat="1"/>
    <xf numFmtId="14" fontId="0" fillId="0" borderId="1" xfId="0" applyNumberFormat="1" applyBorder="1"/>
    <xf numFmtId="0" fontId="2" fillId="2" borderId="1" xfId="0" applyFont="1" applyFill="1" applyBorder="1"/>
    <xf numFmtId="0" fontId="0" fillId="2" borderId="1" xfId="0" applyFill="1" applyBorder="1" applyAlignment="1">
      <alignment vertical="top"/>
    </xf>
    <xf numFmtId="0" fontId="0" fillId="0" borderId="1" xfId="0" applyBorder="1" applyAlignment="1">
      <alignment horizontal="left" vertical="top"/>
    </xf>
    <xf numFmtId="0" fontId="0" fillId="8" borderId="1" xfId="0" applyFill="1" applyBorder="1" applyAlignment="1">
      <alignment horizontal="left" vertical="top"/>
    </xf>
    <xf numFmtId="0" fontId="0" fillId="2" borderId="1" xfId="0" applyFill="1" applyBorder="1" applyAlignment="1">
      <alignment vertical="top" wrapText="1"/>
    </xf>
    <xf numFmtId="0" fontId="0" fillId="0" borderId="1" xfId="0" applyBorder="1" applyAlignment="1">
      <alignment horizontal="left" vertical="top" wrapText="1"/>
    </xf>
    <xf numFmtId="0" fontId="0" fillId="8" borderId="1" xfId="0" applyFill="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2" fillId="2" borderId="1" xfId="0" applyFont="1" applyFill="1" applyBorder="1" applyAlignment="1">
      <alignment horizontal="center" vertical="center" wrapText="1"/>
    </xf>
    <xf numFmtId="0" fontId="0" fillId="0" borderId="1" xfId="0" applyBorder="1" applyAlignment="1" applyProtection="1">
      <alignment horizontal="center" vertical="center" wrapText="1"/>
      <protection locked="0"/>
    </xf>
    <xf numFmtId="0" fontId="0" fillId="2" borderId="1" xfId="0" applyFill="1" applyBorder="1" applyAlignment="1">
      <alignment horizontal="center" vertical="center" wrapText="1"/>
    </xf>
    <xf numFmtId="0" fontId="0" fillId="0" borderId="1" xfId="0" applyBorder="1" applyAlignment="1">
      <alignment vertical="center" wrapText="1"/>
    </xf>
    <xf numFmtId="0" fontId="0" fillId="2" borderId="1" xfId="0" applyFill="1" applyBorder="1" applyAlignment="1">
      <alignment vertical="center" wrapText="1"/>
    </xf>
    <xf numFmtId="0" fontId="0" fillId="2" borderId="1" xfId="0" applyFill="1" applyBorder="1" applyAlignment="1">
      <alignment horizontal="center" vertical="center"/>
    </xf>
    <xf numFmtId="0" fontId="0" fillId="7" borderId="1" xfId="0" applyFill="1" applyBorder="1" applyAlignment="1" applyProtection="1">
      <alignment horizontal="center" vertical="center" wrapText="1"/>
      <protection locked="0"/>
    </xf>
    <xf numFmtId="14" fontId="0" fillId="0" borderId="1" xfId="0" applyNumberFormat="1" applyBorder="1" applyAlignment="1">
      <alignment horizontal="center" vertical="center" wrapText="1"/>
    </xf>
    <xf numFmtId="0" fontId="0" fillId="7" borderId="1" xfId="0" applyFill="1" applyBorder="1" applyAlignment="1" applyProtection="1">
      <alignment vertical="center" wrapText="1"/>
      <protection locked="0"/>
    </xf>
    <xf numFmtId="0" fontId="0" fillId="0" borderId="1" xfId="0" applyBorder="1" applyAlignment="1" applyProtection="1">
      <alignment vertical="center"/>
      <protection locked="0"/>
    </xf>
    <xf numFmtId="0" fontId="0" fillId="0" borderId="1" xfId="0" applyBorder="1" applyAlignment="1" applyProtection="1">
      <alignment horizontal="center" vertical="center"/>
      <protection locked="0"/>
    </xf>
    <xf numFmtId="0" fontId="1" fillId="0" borderId="1" xfId="1" applyBorder="1" applyAlignment="1" applyProtection="1">
      <alignment vertical="center" wrapText="1"/>
      <protection locked="0"/>
    </xf>
    <xf numFmtId="0" fontId="0" fillId="0" borderId="1" xfId="0" applyBorder="1" applyAlignment="1" applyProtection="1">
      <alignment vertical="center" wrapText="1"/>
      <protection locked="0"/>
    </xf>
    <xf numFmtId="14" fontId="10" fillId="0" borderId="1" xfId="0" applyNumberFormat="1" applyFont="1" applyBorder="1" applyAlignment="1">
      <alignment horizontal="center" vertical="center" wrapText="1"/>
    </xf>
    <xf numFmtId="0" fontId="0" fillId="2" borderId="1" xfId="0" applyFill="1" applyBorder="1" applyAlignment="1">
      <alignment vertical="center"/>
    </xf>
    <xf numFmtId="0" fontId="0" fillId="2" borderId="1" xfId="0" applyFill="1" applyBorder="1" applyAlignment="1" applyProtection="1">
      <alignment vertical="center"/>
      <protection locked="0"/>
    </xf>
    <xf numFmtId="0" fontId="0" fillId="9" borderId="1" xfId="0" quotePrefix="1" applyFill="1" applyBorder="1" applyAlignment="1">
      <alignment vertical="center" wrapText="1"/>
    </xf>
    <xf numFmtId="0" fontId="0" fillId="9" borderId="1" xfId="0" applyFill="1" applyBorder="1" applyAlignment="1">
      <alignment vertical="center" wrapText="1"/>
    </xf>
    <xf numFmtId="14" fontId="0" fillId="0" borderId="1" xfId="0" applyNumberFormat="1" applyBorder="1" applyAlignment="1" applyProtection="1">
      <alignment horizontal="center" vertical="center" wrapText="1"/>
      <protection locked="0"/>
    </xf>
    <xf numFmtId="0" fontId="0" fillId="0" borderId="1" xfId="0" applyBorder="1" applyAlignment="1">
      <alignment vertical="center"/>
    </xf>
    <xf numFmtId="0" fontId="0" fillId="7" borderId="1" xfId="0" applyFill="1" applyBorder="1" applyAlignment="1" applyProtection="1">
      <alignment vertical="center"/>
      <protection locked="0"/>
    </xf>
    <xf numFmtId="0" fontId="0" fillId="7" borderId="1" xfId="0" applyFill="1" applyBorder="1" applyAlignment="1" applyProtection="1">
      <alignment horizontal="center" vertical="center"/>
      <protection locked="0"/>
    </xf>
    <xf numFmtId="0" fontId="2" fillId="7" borderId="14" xfId="0" applyFont="1" applyFill="1" applyBorder="1" applyAlignment="1" applyProtection="1">
      <alignment horizontal="center"/>
      <protection locked="0"/>
    </xf>
    <xf numFmtId="0" fontId="2" fillId="7" borderId="15" xfId="0" applyFont="1" applyFill="1" applyBorder="1" applyAlignment="1" applyProtection="1">
      <alignment horizontal="center"/>
      <protection locked="0"/>
    </xf>
    <xf numFmtId="0" fontId="2" fillId="7" borderId="16" xfId="0" applyFont="1" applyFill="1" applyBorder="1" applyAlignment="1" applyProtection="1">
      <alignment horizontal="center"/>
      <protection locked="0"/>
    </xf>
    <xf numFmtId="0" fontId="2" fillId="7" borderId="1" xfId="0" applyFont="1" applyFill="1" applyBorder="1" applyAlignment="1" applyProtection="1">
      <alignment horizontal="center" vertical="center" wrapText="1"/>
      <protection locked="0"/>
    </xf>
    <xf numFmtId="0" fontId="0" fillId="0" borderId="0" xfId="0" applyAlignment="1">
      <alignment wrapText="1"/>
    </xf>
    <xf numFmtId="0" fontId="2" fillId="11"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0" fillId="10" borderId="1" xfId="0" applyFill="1" applyBorder="1" applyAlignment="1">
      <alignment horizontal="center" vertical="center"/>
    </xf>
    <xf numFmtId="0" fontId="0" fillId="10" borderId="1" xfId="0" applyFill="1" applyBorder="1" applyAlignment="1">
      <alignment horizontal="center" vertical="center" wrapText="1"/>
    </xf>
    <xf numFmtId="0" fontId="0" fillId="0" borderId="0" xfId="0" applyAlignment="1">
      <alignment horizontal="center" vertical="center"/>
    </xf>
    <xf numFmtId="0" fontId="2" fillId="0" borderId="5" xfId="0" applyFont="1" applyBorder="1" applyAlignment="1">
      <alignment wrapText="1"/>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7" xfId="0" applyBorder="1" applyAlignment="1" applyProtection="1">
      <alignment vertical="center"/>
      <protection locked="0"/>
    </xf>
    <xf numFmtId="0" fontId="0" fillId="0" borderId="18" xfId="0" applyBorder="1" applyAlignment="1" applyProtection="1">
      <alignment vertical="center"/>
      <protection locked="0"/>
    </xf>
    <xf numFmtId="0" fontId="0" fillId="0" borderId="19" xfId="0" applyBorder="1" applyAlignment="1" applyProtection="1">
      <alignment vertical="center"/>
      <protection locked="0"/>
    </xf>
    <xf numFmtId="0" fontId="0" fillId="0" borderId="20" xfId="0" applyBorder="1" applyAlignment="1" applyProtection="1">
      <alignment vertical="center"/>
      <protection locked="0"/>
    </xf>
    <xf numFmtId="0" fontId="0" fillId="0" borderId="21" xfId="0" applyBorder="1" applyAlignment="1" applyProtection="1">
      <alignment vertical="center"/>
      <protection locked="0"/>
    </xf>
    <xf numFmtId="0" fontId="1" fillId="0" borderId="1" xfId="1" applyBorder="1" applyAlignment="1" applyProtection="1">
      <alignment vertical="center"/>
      <protection locked="0"/>
    </xf>
    <xf numFmtId="0" fontId="1" fillId="0" borderId="0" xfId="1"/>
    <xf numFmtId="0" fontId="0" fillId="0" borderId="0" xfId="0" applyAlignment="1">
      <alignment vertical="center"/>
    </xf>
    <xf numFmtId="0" fontId="1" fillId="0" borderId="0" xfId="1" applyBorder="1" applyAlignment="1" applyProtection="1">
      <alignment vertical="center"/>
      <protection locked="0"/>
    </xf>
    <xf numFmtId="0" fontId="1" fillId="0" borderId="0" xfId="1" applyBorder="1"/>
    <xf numFmtId="0" fontId="1" fillId="0" borderId="0" xfId="1" applyBorder="1" applyAlignment="1" applyProtection="1">
      <alignment vertical="center" wrapText="1"/>
      <protection locked="0"/>
    </xf>
    <xf numFmtId="14" fontId="0" fillId="0" borderId="0" xfId="0" applyNumberFormat="1" applyAlignment="1">
      <alignment horizontal="center"/>
    </xf>
    <xf numFmtId="0" fontId="13" fillId="12" borderId="1" xfId="0" applyFont="1" applyFill="1" applyBorder="1" applyAlignment="1">
      <alignment horizontal="center" vertical="center"/>
    </xf>
    <xf numFmtId="10" fontId="13" fillId="12" borderId="1" xfId="0" applyNumberFormat="1" applyFont="1" applyFill="1" applyBorder="1" applyAlignment="1">
      <alignment horizontal="center" vertical="center"/>
    </xf>
    <xf numFmtId="0" fontId="2" fillId="2" borderId="0" xfId="0" applyFont="1" applyFill="1" applyAlignment="1">
      <alignment horizontal="right"/>
    </xf>
    <xf numFmtId="0" fontId="0" fillId="2" borderId="7" xfId="0" applyFill="1" applyBorder="1"/>
    <xf numFmtId="0" fontId="0" fillId="2" borderId="8" xfId="0" applyFill="1" applyBorder="1"/>
    <xf numFmtId="0" fontId="0" fillId="2" borderId="9" xfId="0" applyFill="1" applyBorder="1"/>
    <xf numFmtId="0" fontId="0" fillId="13" borderId="0" xfId="0" applyFill="1"/>
    <xf numFmtId="0" fontId="14" fillId="14" borderId="1" xfId="0" applyFont="1" applyFill="1" applyBorder="1" applyAlignment="1">
      <alignment horizontal="center" vertical="center"/>
    </xf>
    <xf numFmtId="0" fontId="15" fillId="0" borderId="0" xfId="0" applyFont="1" applyAlignment="1">
      <alignment horizontal="center" wrapText="1"/>
    </xf>
    <xf numFmtId="0" fontId="5" fillId="6" borderId="5" xfId="0" applyFont="1" applyFill="1" applyBorder="1" applyAlignment="1">
      <alignment horizontal="left" vertical="center" wrapText="1"/>
    </xf>
    <xf numFmtId="0" fontId="5" fillId="6" borderId="0" xfId="0" applyFont="1" applyFill="1" applyAlignment="1">
      <alignment horizontal="left" vertical="center" wrapText="1"/>
    </xf>
    <xf numFmtId="0" fontId="5" fillId="6" borderId="6" xfId="0" applyFont="1" applyFill="1" applyBorder="1" applyAlignment="1">
      <alignment horizontal="left" vertical="center" wrapText="1"/>
    </xf>
    <xf numFmtId="0" fontId="4" fillId="6" borderId="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6" xfId="0" applyFont="1" applyFill="1" applyBorder="1" applyAlignment="1">
      <alignment horizontal="left" vertical="center" wrapText="1"/>
    </xf>
    <xf numFmtId="0" fontId="5" fillId="6" borderId="5" xfId="0" applyFont="1" applyFill="1" applyBorder="1" applyAlignment="1">
      <alignment horizontal="left" wrapText="1"/>
    </xf>
    <xf numFmtId="0" fontId="5" fillId="6" borderId="0" xfId="0" applyFont="1" applyFill="1" applyAlignment="1">
      <alignment horizontal="left" wrapText="1"/>
    </xf>
    <xf numFmtId="0" fontId="5" fillId="6" borderId="6" xfId="0" applyFont="1" applyFill="1" applyBorder="1" applyAlignment="1">
      <alignment horizontal="left" wrapText="1"/>
    </xf>
    <xf numFmtId="0" fontId="14" fillId="14" borderId="1" xfId="0" applyFont="1" applyFill="1" applyBorder="1" applyAlignment="1">
      <alignment horizontal="right" vertical="center"/>
    </xf>
    <xf numFmtId="0" fontId="14" fillId="12" borderId="1" xfId="0" applyFont="1" applyFill="1" applyBorder="1" applyAlignment="1">
      <alignment horizontal="right" vertical="center"/>
    </xf>
    <xf numFmtId="10" fontId="14" fillId="12" borderId="1" xfId="0" applyNumberFormat="1" applyFont="1" applyFill="1" applyBorder="1" applyAlignment="1">
      <alignment horizontal="center" vertical="center"/>
    </xf>
    <xf numFmtId="0" fontId="9" fillId="0" borderId="2" xfId="0" applyFont="1" applyBorder="1" applyAlignment="1">
      <alignment horizontal="center"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cellXfs>
  <cellStyles count="2">
    <cellStyle name="Hipervínculo" xfId="1" builtinId="8"/>
    <cellStyle name="Normal" xfId="0" builtinId="0"/>
  </cellStyles>
  <dxfs count="76">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yy"/>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yy"/>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ill>
        <patternFill patternType="solid">
          <fgColor indexed="64"/>
          <bgColor rgb="FFFFC000"/>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29D86"/>
        </patternFill>
      </fill>
    </dxf>
    <dxf>
      <fill>
        <patternFill>
          <bgColor rgb="FF92D050"/>
        </patternFill>
      </fill>
    </dxf>
    <dxf>
      <fill>
        <patternFill>
          <bgColor rgb="FFF29D86"/>
        </patternFill>
      </fill>
    </dxf>
    <dxf>
      <fill>
        <patternFill>
          <bgColor rgb="FF92D050"/>
        </patternFill>
      </fill>
    </dxf>
    <dxf>
      <fill>
        <patternFill>
          <bgColor rgb="FFF29D86"/>
        </patternFill>
      </fill>
    </dxf>
    <dxf>
      <fill>
        <patternFill>
          <bgColor rgb="FF92D050"/>
        </patternFill>
      </fill>
    </dxf>
    <dxf>
      <fill>
        <patternFill>
          <bgColor rgb="FFF29D86"/>
        </patternFill>
      </fill>
    </dxf>
    <dxf>
      <fill>
        <patternFill>
          <bgColor rgb="FF92D050"/>
        </patternFill>
      </fill>
    </dxf>
    <dxf>
      <fill>
        <patternFill>
          <bgColor rgb="FFF29D86"/>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29D86"/>
        </patternFill>
      </fill>
    </dxf>
    <dxf>
      <fill>
        <patternFill>
          <bgColor rgb="FF92D050"/>
        </patternFill>
      </fill>
    </dxf>
    <dxf>
      <fill>
        <patternFill>
          <bgColor rgb="FFF29D86"/>
        </patternFill>
      </fill>
    </dxf>
    <dxf>
      <fill>
        <patternFill>
          <bgColor theme="7" tint="0.59996337778862885"/>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i val="0"/>
        <color theme="0"/>
      </font>
      <fill>
        <patternFill>
          <bgColor rgb="FFFF0000"/>
        </patternFill>
      </fill>
    </dxf>
    <dxf>
      <alignment horizontal="center"/>
    </dxf>
    <dxf>
      <protection locked="1"/>
    </dxf>
    <dxf>
      <protection locked="1"/>
    </dxf>
    <dxf>
      <protection locked="1"/>
    </dxf>
    <dxf>
      <protection locked="1"/>
    </dxf>
    <dxf>
      <protection locked="1"/>
    </dxf>
    <dxf>
      <protection locked="1"/>
    </dxf>
    <dxf>
      <protection locked="1"/>
    </dxf>
    <dxf>
      <protection locked="1"/>
    </dxf>
    <dxf>
      <protection locked="1"/>
    </dxf>
    <dxf>
      <protection locked="1"/>
    </dxf>
    <dxf>
      <alignment horizontal="center"/>
    </dxf>
    <dxf>
      <protection locked="1"/>
    </dxf>
    <dxf>
      <protection locked="1"/>
    </dxf>
    <dxf>
      <protection locked="1"/>
    </dxf>
    <dxf>
      <protection locked="1"/>
    </dxf>
    <dxf>
      <protection locked="1"/>
    </dxf>
    <dxf>
      <protection locked="1"/>
    </dxf>
    <dxf>
      <protection locked="1"/>
    </dxf>
    <dxf>
      <protection locked="1"/>
    </dxf>
    <dxf>
      <alignment horizontal="center"/>
    </dxf>
    <dxf>
      <protection locked="1"/>
    </dxf>
    <dxf>
      <protection locked="1"/>
    </dxf>
    <dxf>
      <protection locked="1"/>
    </dxf>
    <dxf>
      <protection locked="1"/>
    </dxf>
    <dxf>
      <protection locked="1"/>
    </dxf>
    <dxf>
      <protection locked="1"/>
    </dxf>
  </dxfs>
  <tableStyles count="0" defaultTableStyle="TableStyleMedium2" defaultPivotStyle="PivotStyleLight16"/>
  <colors>
    <mruColors>
      <color rgb="FFFF5050"/>
      <color rgb="FFFF3300"/>
      <color rgb="FFF29D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11/relationships/timelineCache" Target="timelineCaches/timeline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[Sistema_Gestion_COE_xx_2025.xlsm]Dashboard!PivotTable2</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s-PA"/>
              <a:t>Distribución de Tareas por Estado</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A"/>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0000"/>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00B050"/>
          </a:solidFill>
          <a:ln>
            <a:noFill/>
          </a:ln>
          <a:effectLst/>
          <a:scene3d>
            <a:camera prst="orthographicFront"/>
            <a:lightRig rig="brightRoom" dir="t"/>
          </a:scene3d>
          <a:sp3d prstMaterial="flat">
            <a:bevelT w="50800" h="101600" prst="angle"/>
            <a:contourClr>
              <a:srgbClr val="000000"/>
            </a:contourClr>
          </a:sp3d>
        </c:spPr>
      </c:pivotFmt>
      <c:pivotFmt>
        <c:idx val="3"/>
        <c:spPr>
          <a:solidFill>
            <a:srgbClr val="FFC000"/>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Dashboard!$AA$2</c:f>
              <c:strCache>
                <c:ptCount val="1"/>
                <c:pt idx="0">
                  <c:v>Total</c:v>
                </c:pt>
              </c:strCache>
            </c:strRef>
          </c:tx>
          <c:dPt>
            <c:idx val="0"/>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42-4010-9EA7-5F6FF2C87A21}"/>
              </c:ext>
            </c:extLst>
          </c:dPt>
          <c:dPt>
            <c:idx val="1"/>
            <c:bubble3D val="0"/>
            <c:spPr>
              <a:solidFill>
                <a:srgbClr val="FFC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1942-4010-9EA7-5F6FF2C87A21}"/>
              </c:ext>
            </c:extLst>
          </c:dPt>
          <c:dPt>
            <c:idx val="2"/>
            <c:bubble3D val="0"/>
            <c:spPr>
              <a:solidFill>
                <a:srgbClr val="FF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1942-4010-9EA7-5F6FF2C87A2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A"/>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Dashboard!$Z$3:$Z$6</c:f>
              <c:strCache>
                <c:ptCount val="3"/>
                <c:pt idx="0">
                  <c:v>Completada</c:v>
                </c:pt>
                <c:pt idx="1">
                  <c:v>Pendiente</c:v>
                </c:pt>
                <c:pt idx="2">
                  <c:v>Vencida</c:v>
                </c:pt>
              </c:strCache>
            </c:strRef>
          </c:cat>
          <c:val>
            <c:numRef>
              <c:f>Dashboard!$AA$3:$AA$6</c:f>
              <c:numCache>
                <c:formatCode>General</c:formatCode>
                <c:ptCount val="3"/>
                <c:pt idx="0">
                  <c:v>45</c:v>
                </c:pt>
                <c:pt idx="1">
                  <c:v>154</c:v>
                </c:pt>
                <c:pt idx="2">
                  <c:v>23</c:v>
                </c:pt>
              </c:numCache>
            </c:numRef>
          </c:val>
          <c:extLst>
            <c:ext xmlns:c16="http://schemas.microsoft.com/office/drawing/2014/chart" uri="{C3380CC4-5D6E-409C-BE32-E72D297353CC}">
              <c16:uniqueId val="{00000000-1942-4010-9EA7-5F6FF2C87A2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[Sistema_Gestion_COE_xx_2025.xlsm]Dashboard!PivotTable3</c:name>
    <c:fmtId val="4"/>
  </c:pivotSource>
  <c:chart>
    <c:autoTitleDeleted val="0"/>
    <c:pivotFmts>
      <c:pivotFmt>
        <c:idx val="0"/>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C000">
                <a:alpha val="97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198462425469726E-2"/>
          <c:y val="0.12029154359866172"/>
          <c:w val="0.95624682000779671"/>
          <c:h val="0.53966486430773541"/>
        </c:manualLayout>
      </c:layout>
      <c:lineChart>
        <c:grouping val="standard"/>
        <c:varyColors val="0"/>
        <c:ser>
          <c:idx val="0"/>
          <c:order val="0"/>
          <c:tx>
            <c:strRef>
              <c:f>Dashboard!$AE$2:$AE$3</c:f>
              <c:strCache>
                <c:ptCount val="1"/>
                <c:pt idx="0">
                  <c:v>Completada</c:v>
                </c:pt>
              </c:strCache>
            </c:strRef>
          </c:tx>
          <c:spPr>
            <a:ln w="28575" cap="rnd">
              <a:solidFill>
                <a:srgbClr val="00B050"/>
              </a:solidFill>
              <a:round/>
            </a:ln>
            <a:effectLst/>
          </c:spPr>
          <c:marker>
            <c:symbol val="none"/>
          </c:marker>
          <c:cat>
            <c:strRef>
              <c:f>Dashboard!$AD$4:$AD$6</c:f>
              <c:strCache>
                <c:ptCount val="2"/>
                <c:pt idx="0">
                  <c:v>7/8/2025</c:v>
                </c:pt>
                <c:pt idx="1">
                  <c:v>7/9/2025</c:v>
                </c:pt>
              </c:strCache>
            </c:strRef>
          </c:cat>
          <c:val>
            <c:numRef>
              <c:f>Dashboard!$AE$4:$AE$6</c:f>
              <c:numCache>
                <c:formatCode>General</c:formatCode>
                <c:ptCount val="2"/>
                <c:pt idx="0">
                  <c:v>45</c:v>
                </c:pt>
              </c:numCache>
            </c:numRef>
          </c:val>
          <c:smooth val="0"/>
          <c:extLst>
            <c:ext xmlns:c16="http://schemas.microsoft.com/office/drawing/2014/chart" uri="{C3380CC4-5D6E-409C-BE32-E72D297353CC}">
              <c16:uniqueId val="{00000000-25FE-4013-A269-57296217F8A7}"/>
            </c:ext>
          </c:extLst>
        </c:ser>
        <c:ser>
          <c:idx val="1"/>
          <c:order val="1"/>
          <c:tx>
            <c:strRef>
              <c:f>Dashboard!$AF$2:$AF$3</c:f>
              <c:strCache>
                <c:ptCount val="1"/>
                <c:pt idx="0">
                  <c:v>Pendiente</c:v>
                </c:pt>
              </c:strCache>
            </c:strRef>
          </c:tx>
          <c:spPr>
            <a:ln w="28575" cap="rnd">
              <a:solidFill>
                <a:srgbClr val="FFC000">
                  <a:alpha val="97000"/>
                </a:srgbClr>
              </a:solidFill>
              <a:round/>
            </a:ln>
            <a:effectLst/>
          </c:spPr>
          <c:marker>
            <c:symbol val="none"/>
          </c:marker>
          <c:cat>
            <c:strRef>
              <c:f>Dashboard!$AD$4:$AD$6</c:f>
              <c:strCache>
                <c:ptCount val="2"/>
                <c:pt idx="0">
                  <c:v>7/8/2025</c:v>
                </c:pt>
                <c:pt idx="1">
                  <c:v>7/9/2025</c:v>
                </c:pt>
              </c:strCache>
            </c:strRef>
          </c:cat>
          <c:val>
            <c:numRef>
              <c:f>Dashboard!$AF$4:$AF$6</c:f>
              <c:numCache>
                <c:formatCode>General</c:formatCode>
                <c:ptCount val="2"/>
                <c:pt idx="0">
                  <c:v>131</c:v>
                </c:pt>
                <c:pt idx="1">
                  <c:v>23</c:v>
                </c:pt>
              </c:numCache>
            </c:numRef>
          </c:val>
          <c:smooth val="0"/>
          <c:extLst>
            <c:ext xmlns:c16="http://schemas.microsoft.com/office/drawing/2014/chart" uri="{C3380CC4-5D6E-409C-BE32-E72D297353CC}">
              <c16:uniqueId val="{00000010-D4EB-4A8D-8721-9CE5530C7E52}"/>
            </c:ext>
          </c:extLst>
        </c:ser>
        <c:ser>
          <c:idx val="2"/>
          <c:order val="2"/>
          <c:tx>
            <c:strRef>
              <c:f>Dashboard!$AG$2:$AG$3</c:f>
              <c:strCache>
                <c:ptCount val="1"/>
                <c:pt idx="0">
                  <c:v>Vencida</c:v>
                </c:pt>
              </c:strCache>
            </c:strRef>
          </c:tx>
          <c:spPr>
            <a:ln w="28575" cap="rnd">
              <a:solidFill>
                <a:srgbClr val="C00000"/>
              </a:solidFill>
              <a:round/>
            </a:ln>
            <a:effectLst/>
          </c:spPr>
          <c:marker>
            <c:symbol val="none"/>
          </c:marker>
          <c:cat>
            <c:strRef>
              <c:f>Dashboard!$AD$4:$AD$6</c:f>
              <c:strCache>
                <c:ptCount val="2"/>
                <c:pt idx="0">
                  <c:v>7/8/2025</c:v>
                </c:pt>
                <c:pt idx="1">
                  <c:v>7/9/2025</c:v>
                </c:pt>
              </c:strCache>
            </c:strRef>
          </c:cat>
          <c:val>
            <c:numRef>
              <c:f>Dashboard!$AG$4:$AG$6</c:f>
              <c:numCache>
                <c:formatCode>General</c:formatCode>
                <c:ptCount val="2"/>
                <c:pt idx="0">
                  <c:v>23</c:v>
                </c:pt>
              </c:numCache>
            </c:numRef>
          </c:val>
          <c:smooth val="0"/>
          <c:extLst>
            <c:ext xmlns:c16="http://schemas.microsoft.com/office/drawing/2014/chart" uri="{C3380CC4-5D6E-409C-BE32-E72D297353CC}">
              <c16:uniqueId val="{00000011-D4EB-4A8D-8721-9CE5530C7E52}"/>
            </c:ext>
          </c:extLst>
        </c:ser>
        <c:dLbls>
          <c:showLegendKey val="0"/>
          <c:showVal val="0"/>
          <c:showCatName val="0"/>
          <c:showSerName val="0"/>
          <c:showPercent val="0"/>
          <c:showBubbleSize val="0"/>
        </c:dLbls>
        <c:smooth val="0"/>
        <c:axId val="1505495632"/>
        <c:axId val="1505490352"/>
      </c:lineChart>
      <c:catAx>
        <c:axId val="150549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505490352"/>
        <c:crosses val="autoZero"/>
        <c:auto val="1"/>
        <c:lblAlgn val="ctr"/>
        <c:lblOffset val="100"/>
        <c:noMultiLvlLbl val="0"/>
      </c:catAx>
      <c:valAx>
        <c:axId val="1505490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505495632"/>
        <c:crosses val="autoZero"/>
        <c:crossBetween val="between"/>
      </c:valAx>
      <c:spPr>
        <a:solidFill>
          <a:schemeClr val="bg1"/>
        </a:solidFill>
        <a:ln>
          <a:noFill/>
        </a:ln>
        <a:effectLst/>
      </c:spPr>
    </c:plotArea>
    <c:legend>
      <c:legendPos val="b"/>
      <c:layout>
        <c:manualLayout>
          <c:xMode val="edge"/>
          <c:yMode val="edge"/>
          <c:x val="0.84332509743602257"/>
          <c:y val="0.79809672783100194"/>
          <c:w val="0.15667490256397748"/>
          <c:h val="7.21866477235408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[Sistema_Gestion_COE_xx_2025.xlsm]Dashboard!PivotTable1</c:name>
    <c:fmtId val="3"/>
  </c:pivotSource>
  <c:chart>
    <c:autoTitleDeleted val="0"/>
    <c:pivotFmts>
      <c:pivotFmt>
        <c:idx val="0"/>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Dashboard!$R$2:$R$3</c:f>
              <c:strCache>
                <c:ptCount val="1"/>
                <c:pt idx="0">
                  <c:v>CSD</c:v>
                </c:pt>
              </c:strCache>
            </c:strRef>
          </c:tx>
          <c:spPr>
            <a:solidFill>
              <a:schemeClr val="bg1">
                <a:lumMod val="75000"/>
              </a:schemeClr>
            </a:solidFill>
            <a:ln>
              <a:noFill/>
            </a:ln>
            <a:effectLst/>
          </c:spPr>
          <c:invertIfNegative val="0"/>
          <c:cat>
            <c:strRef>
              <c:f>Dashboard!$Q$4:$Q$7</c:f>
              <c:strCache>
                <c:ptCount val="3"/>
                <c:pt idx="0">
                  <c:v>Completada</c:v>
                </c:pt>
                <c:pt idx="1">
                  <c:v>Pendiente</c:v>
                </c:pt>
                <c:pt idx="2">
                  <c:v>Vencida</c:v>
                </c:pt>
              </c:strCache>
            </c:strRef>
          </c:cat>
          <c:val>
            <c:numRef>
              <c:f>Dashboard!$R$4:$R$7</c:f>
              <c:numCache>
                <c:formatCode>General</c:formatCode>
                <c:ptCount val="3"/>
                <c:pt idx="1">
                  <c:v>67</c:v>
                </c:pt>
                <c:pt idx="2">
                  <c:v>13</c:v>
                </c:pt>
              </c:numCache>
            </c:numRef>
          </c:val>
          <c:extLst>
            <c:ext xmlns:c16="http://schemas.microsoft.com/office/drawing/2014/chart" uri="{C3380CC4-5D6E-409C-BE32-E72D297353CC}">
              <c16:uniqueId val="{00000000-FA54-4CB8-91A1-7492488AC25A}"/>
            </c:ext>
          </c:extLst>
        </c:ser>
        <c:ser>
          <c:idx val="1"/>
          <c:order val="1"/>
          <c:tx>
            <c:strRef>
              <c:f>Dashboard!$S$2:$S$3</c:f>
              <c:strCache>
                <c:ptCount val="1"/>
                <c:pt idx="0">
                  <c:v>Gerente</c:v>
                </c:pt>
              </c:strCache>
            </c:strRef>
          </c:tx>
          <c:spPr>
            <a:solidFill>
              <a:schemeClr val="tx1">
                <a:lumMod val="65000"/>
                <a:lumOff val="35000"/>
              </a:schemeClr>
            </a:solidFill>
            <a:ln>
              <a:noFill/>
            </a:ln>
            <a:effectLst/>
          </c:spPr>
          <c:invertIfNegative val="0"/>
          <c:cat>
            <c:strRef>
              <c:f>Dashboard!$Q$4:$Q$7</c:f>
              <c:strCache>
                <c:ptCount val="3"/>
                <c:pt idx="0">
                  <c:v>Completada</c:v>
                </c:pt>
                <c:pt idx="1">
                  <c:v>Pendiente</c:v>
                </c:pt>
                <c:pt idx="2">
                  <c:v>Vencida</c:v>
                </c:pt>
              </c:strCache>
            </c:strRef>
          </c:cat>
          <c:val>
            <c:numRef>
              <c:f>Dashboard!$S$4:$S$7</c:f>
              <c:numCache>
                <c:formatCode>General</c:formatCode>
                <c:ptCount val="3"/>
                <c:pt idx="0">
                  <c:v>44</c:v>
                </c:pt>
              </c:numCache>
            </c:numRef>
          </c:val>
          <c:extLst>
            <c:ext xmlns:c16="http://schemas.microsoft.com/office/drawing/2014/chart" uri="{C3380CC4-5D6E-409C-BE32-E72D297353CC}">
              <c16:uniqueId val="{00000018-697E-4760-ABD0-EDEF511D814C}"/>
            </c:ext>
          </c:extLst>
        </c:ser>
        <c:ser>
          <c:idx val="2"/>
          <c:order val="2"/>
          <c:tx>
            <c:strRef>
              <c:f>Dashboard!$T$2:$T$3</c:f>
              <c:strCache>
                <c:ptCount val="1"/>
                <c:pt idx="0">
                  <c:v>Supervisor BL</c:v>
                </c:pt>
              </c:strCache>
            </c:strRef>
          </c:tx>
          <c:spPr>
            <a:solidFill>
              <a:srgbClr val="C00000"/>
            </a:solidFill>
            <a:ln>
              <a:noFill/>
            </a:ln>
            <a:effectLst/>
          </c:spPr>
          <c:invertIfNegative val="0"/>
          <c:cat>
            <c:strRef>
              <c:f>Dashboard!$Q$4:$Q$7</c:f>
              <c:strCache>
                <c:ptCount val="3"/>
                <c:pt idx="0">
                  <c:v>Completada</c:v>
                </c:pt>
                <c:pt idx="1">
                  <c:v>Pendiente</c:v>
                </c:pt>
                <c:pt idx="2">
                  <c:v>Vencida</c:v>
                </c:pt>
              </c:strCache>
            </c:strRef>
          </c:cat>
          <c:val>
            <c:numRef>
              <c:f>Dashboard!$T$4:$T$7</c:f>
              <c:numCache>
                <c:formatCode>General</c:formatCode>
                <c:ptCount val="3"/>
                <c:pt idx="1">
                  <c:v>51</c:v>
                </c:pt>
                <c:pt idx="2">
                  <c:v>6</c:v>
                </c:pt>
              </c:numCache>
            </c:numRef>
          </c:val>
          <c:extLst>
            <c:ext xmlns:c16="http://schemas.microsoft.com/office/drawing/2014/chart" uri="{C3380CC4-5D6E-409C-BE32-E72D297353CC}">
              <c16:uniqueId val="{00000019-697E-4760-ABD0-EDEF511D814C}"/>
            </c:ext>
          </c:extLst>
        </c:ser>
        <c:ser>
          <c:idx val="3"/>
          <c:order val="3"/>
          <c:tx>
            <c:strRef>
              <c:f>Dashboard!$U$2:$U$3</c:f>
              <c:strCache>
                <c:ptCount val="1"/>
                <c:pt idx="0">
                  <c:v>Supervisor FL</c:v>
                </c:pt>
              </c:strCache>
            </c:strRef>
          </c:tx>
          <c:spPr>
            <a:solidFill>
              <a:schemeClr val="accent4"/>
            </a:solidFill>
            <a:ln>
              <a:noFill/>
            </a:ln>
            <a:effectLst/>
          </c:spPr>
          <c:invertIfNegative val="0"/>
          <c:cat>
            <c:strRef>
              <c:f>Dashboard!$Q$4:$Q$7</c:f>
              <c:strCache>
                <c:ptCount val="3"/>
                <c:pt idx="0">
                  <c:v>Completada</c:v>
                </c:pt>
                <c:pt idx="1">
                  <c:v>Pendiente</c:v>
                </c:pt>
                <c:pt idx="2">
                  <c:v>Vencida</c:v>
                </c:pt>
              </c:strCache>
            </c:strRef>
          </c:cat>
          <c:val>
            <c:numRef>
              <c:f>Dashboard!$U$4:$U$7</c:f>
              <c:numCache>
                <c:formatCode>General</c:formatCode>
                <c:ptCount val="3"/>
                <c:pt idx="0">
                  <c:v>1</c:v>
                </c:pt>
                <c:pt idx="1">
                  <c:v>36</c:v>
                </c:pt>
                <c:pt idx="2">
                  <c:v>4</c:v>
                </c:pt>
              </c:numCache>
            </c:numRef>
          </c:val>
          <c:extLst>
            <c:ext xmlns:c16="http://schemas.microsoft.com/office/drawing/2014/chart" uri="{C3380CC4-5D6E-409C-BE32-E72D297353CC}">
              <c16:uniqueId val="{0000001A-697E-4760-ABD0-EDEF511D814C}"/>
            </c:ext>
          </c:extLst>
        </c:ser>
        <c:dLbls>
          <c:showLegendKey val="0"/>
          <c:showVal val="0"/>
          <c:showCatName val="0"/>
          <c:showSerName val="0"/>
          <c:showPercent val="0"/>
          <c:showBubbleSize val="0"/>
        </c:dLbls>
        <c:gapWidth val="150"/>
        <c:overlap val="100"/>
        <c:axId val="1775263632"/>
        <c:axId val="1775262192"/>
      </c:barChart>
      <c:catAx>
        <c:axId val="1775263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775262192"/>
        <c:crosses val="autoZero"/>
        <c:auto val="1"/>
        <c:lblAlgn val="ctr"/>
        <c:lblOffset val="100"/>
        <c:noMultiLvlLbl val="0"/>
      </c:catAx>
      <c:valAx>
        <c:axId val="1775262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775263632"/>
        <c:crosses val="autoZero"/>
        <c:crossBetween val="between"/>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xdr:row>
          <xdr:rowOff>167640</xdr:rowOff>
        </xdr:from>
        <xdr:to>
          <xdr:col>2</xdr:col>
          <xdr:colOff>967740</xdr:colOff>
          <xdr:row>4</xdr:row>
          <xdr:rowOff>137160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Generar / Actualizar Tareas de Hoy</a:t>
              </a:r>
            </a:p>
            <a:p>
              <a:pPr algn="ctr" rtl="0">
                <a:defRPr sz="1000"/>
              </a:pPr>
              <a:r>
                <a:rPr lang="es-PA" sz="1100" b="0" i="0" u="none" strike="noStrike" baseline="0">
                  <a:solidFill>
                    <a:srgbClr val="000000"/>
                  </a:solidFill>
                  <a:latin typeface="Calibri"/>
                  <a:ea typeface="Calibri"/>
                  <a:cs typeface="Calibri"/>
                </a:rPr>
                <a:t>ctrl + shift + 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617220</xdr:colOff>
          <xdr:row>7</xdr:row>
          <xdr:rowOff>15240</xdr:rowOff>
        </xdr:from>
        <xdr:to>
          <xdr:col>2</xdr:col>
          <xdr:colOff>975360</xdr:colOff>
          <xdr:row>9</xdr:row>
          <xdr:rowOff>175260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Agregar Nueva Tarea Maestra</a:t>
              </a:r>
            </a:p>
            <a:p>
              <a:pPr algn="ctr" rtl="0">
                <a:defRPr sz="1000"/>
              </a:pPr>
              <a:r>
                <a:rPr lang="es-PA" sz="1100" b="0" i="0" u="none" strike="noStrike" baseline="0">
                  <a:solidFill>
                    <a:srgbClr val="000000"/>
                  </a:solidFill>
                  <a:latin typeface="Calibri"/>
                  <a:ea typeface="Calibri"/>
                  <a:cs typeface="Calibri"/>
                </a:rPr>
                <a:t>ctrl + shift +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14</xdr:row>
          <xdr:rowOff>0</xdr:rowOff>
        </xdr:from>
        <xdr:to>
          <xdr:col>2</xdr:col>
          <xdr:colOff>243840</xdr:colOff>
          <xdr:row>16</xdr:row>
          <xdr:rowOff>99060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Generar Reportes de Auditoría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121920</xdr:colOff>
          <xdr:row>13</xdr:row>
          <xdr:rowOff>167640</xdr:rowOff>
        </xdr:from>
        <xdr:to>
          <xdr:col>6</xdr:col>
          <xdr:colOff>205740</xdr:colOff>
          <xdr:row>16</xdr:row>
          <xdr:rowOff>91440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100-00001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Generar Vista para Agentes</a:t>
              </a:r>
            </a:p>
          </xdr:txBody>
        </xdr:sp>
        <xdr:clientData fPrintsWithSheet="0"/>
      </xdr:twoCellAnchor>
    </mc:Choice>
    <mc:Fallback/>
  </mc:AlternateContent>
  <xdr:twoCellAnchor editAs="oneCell">
    <xdr:from>
      <xdr:col>7</xdr:col>
      <xdr:colOff>39444</xdr:colOff>
      <xdr:row>6</xdr:row>
      <xdr:rowOff>53788</xdr:rowOff>
    </xdr:from>
    <xdr:to>
      <xdr:col>8</xdr:col>
      <xdr:colOff>493058</xdr:colOff>
      <xdr:row>16</xdr:row>
      <xdr:rowOff>179294</xdr:rowOff>
    </xdr:to>
    <mc:AlternateContent xmlns:mc="http://schemas.openxmlformats.org/markup-compatibility/2006" xmlns:a14="http://schemas.microsoft.com/office/drawing/2010/main">
      <mc:Choice Requires="a14">
        <xdr:graphicFrame macro="">
          <xdr:nvGraphicFramePr>
            <xdr:cNvPr id="3" name="Pilar">
              <a:extLst>
                <a:ext uri="{FF2B5EF4-FFF2-40B4-BE49-F238E27FC236}">
                  <a16:creationId xmlns:a16="http://schemas.microsoft.com/office/drawing/2014/main" id="{D1A10AF2-DB4A-3378-9B80-90F447F20EA6}"/>
                </a:ext>
              </a:extLst>
            </xdr:cNvPr>
            <xdr:cNvGraphicFramePr/>
          </xdr:nvGraphicFramePr>
          <xdr:xfrm>
            <a:off x="0" y="0"/>
            <a:ext cx="0" cy="0"/>
          </xdr:xfrm>
          <a:graphic>
            <a:graphicData uri="http://schemas.microsoft.com/office/drawing/2010/slicer">
              <sle:slicer xmlns:sle="http://schemas.microsoft.com/office/drawing/2010/slicer" name="Pilar"/>
            </a:graphicData>
          </a:graphic>
        </xdr:graphicFrame>
      </mc:Choice>
      <mc:Fallback xmlns="">
        <xdr:sp macro="" textlink="">
          <xdr:nvSpPr>
            <xdr:cNvPr id="0" name=""/>
            <xdr:cNvSpPr>
              <a:spLocks noTextEdit="1"/>
            </xdr:cNvSpPr>
          </xdr:nvSpPr>
          <xdr:spPr>
            <a:xfrm>
              <a:off x="5481020" y="1389529"/>
              <a:ext cx="1708673" cy="1900518"/>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35860</xdr:colOff>
      <xdr:row>0</xdr:row>
      <xdr:rowOff>22860</xdr:rowOff>
    </xdr:from>
    <xdr:to>
      <xdr:col>14</xdr:col>
      <xdr:colOff>1121</xdr:colOff>
      <xdr:row>6</xdr:row>
      <xdr:rowOff>35859</xdr:rowOff>
    </xdr:to>
    <mc:AlternateContent xmlns:mc="http://schemas.openxmlformats.org/markup-compatibility/2006" xmlns:tsle="http://schemas.microsoft.com/office/drawing/2012/timeslicer">
      <mc:Choice Requires="tsle">
        <xdr:graphicFrame macro="">
          <xdr:nvGraphicFramePr>
            <xdr:cNvPr id="6" name="Fecha_Asignada 1">
              <a:extLst>
                <a:ext uri="{FF2B5EF4-FFF2-40B4-BE49-F238E27FC236}">
                  <a16:creationId xmlns:a16="http://schemas.microsoft.com/office/drawing/2014/main" id="{91F2B46A-1FA3-81D9-0494-4B8EC78CE161}"/>
                </a:ext>
              </a:extLst>
            </xdr:cNvPr>
            <xdr:cNvGraphicFramePr/>
          </xdr:nvGraphicFramePr>
          <xdr:xfrm>
            <a:off x="0" y="0"/>
            <a:ext cx="0" cy="0"/>
          </xdr:xfrm>
          <a:graphic>
            <a:graphicData uri="http://schemas.microsoft.com/office/drawing/2012/timeslicer">
              <tsle:timeslicer name="Fecha_Asignada 1"/>
            </a:graphicData>
          </a:graphic>
        </xdr:graphicFrame>
      </mc:Choice>
      <mc:Fallback xmlns="">
        <xdr:sp macro="" textlink="">
          <xdr:nvSpPr>
            <xdr:cNvPr id="0" name=""/>
            <xdr:cNvSpPr>
              <a:spLocks noTextEdit="1"/>
            </xdr:cNvSpPr>
          </xdr:nvSpPr>
          <xdr:spPr>
            <a:xfrm>
              <a:off x="5477436" y="22860"/>
              <a:ext cx="7411570" cy="1339775"/>
            </a:xfrm>
            <a:prstGeom prst="rect">
              <a:avLst/>
            </a:prstGeom>
            <a:solidFill>
              <a:prstClr val="white"/>
            </a:solidFill>
            <a:ln w="1">
              <a:solidFill>
                <a:prstClr val="green"/>
              </a:solidFill>
            </a:ln>
          </xdr:spPr>
          <xdr:txBody>
            <a:bodyPr vertOverflow="clip" horzOverflow="clip"/>
            <a:lstStyle/>
            <a:p>
              <a:r>
                <a:rPr lang="es-PA" sz="1100"/>
                <a:t>Timeline: Works in Excel 2013 or higher. Do not move or resize.</a:t>
              </a:r>
            </a:p>
          </xdr:txBody>
        </xdr:sp>
      </mc:Fallback>
    </mc:AlternateContent>
    <xdr:clientData fLocksWithSheet="0"/>
  </xdr:twoCellAnchor>
  <xdr:twoCellAnchor>
    <xdr:from>
      <xdr:col>0</xdr:col>
      <xdr:colOff>26894</xdr:colOff>
      <xdr:row>17</xdr:row>
      <xdr:rowOff>10085</xdr:rowOff>
    </xdr:from>
    <xdr:to>
      <xdr:col>7</xdr:col>
      <xdr:colOff>1210235</xdr:colOff>
      <xdr:row>32</xdr:row>
      <xdr:rowOff>10085</xdr:rowOff>
    </xdr:to>
    <xdr:graphicFrame macro="">
      <xdr:nvGraphicFramePr>
        <xdr:cNvPr id="7" name="Chart 6">
          <a:extLst>
            <a:ext uri="{FF2B5EF4-FFF2-40B4-BE49-F238E27FC236}">
              <a16:creationId xmlns:a16="http://schemas.microsoft.com/office/drawing/2014/main" id="{7E354D21-3D77-A9F3-2317-9D2F6D36E3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506945</xdr:colOff>
      <xdr:row>6</xdr:row>
      <xdr:rowOff>53788</xdr:rowOff>
    </xdr:from>
    <xdr:to>
      <xdr:col>9</xdr:col>
      <xdr:colOff>277000</xdr:colOff>
      <xdr:row>16</xdr:row>
      <xdr:rowOff>179294</xdr:rowOff>
    </xdr:to>
    <mc:AlternateContent xmlns:mc="http://schemas.openxmlformats.org/markup-compatibility/2006" xmlns:a14="http://schemas.microsoft.com/office/drawing/2010/main">
      <mc:Choice Requires="a14">
        <xdr:graphicFrame macro="">
          <xdr:nvGraphicFramePr>
            <xdr:cNvPr id="8" name="Responsable">
              <a:extLst>
                <a:ext uri="{FF2B5EF4-FFF2-40B4-BE49-F238E27FC236}">
                  <a16:creationId xmlns:a16="http://schemas.microsoft.com/office/drawing/2014/main" id="{F5D62B29-8CDD-6749-4FD5-6C05A60DA3FA}"/>
                </a:ext>
              </a:extLst>
            </xdr:cNvPr>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7203580" y="1389529"/>
              <a:ext cx="1831938" cy="1900518"/>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17929</xdr:colOff>
      <xdr:row>32</xdr:row>
      <xdr:rowOff>43254</xdr:rowOff>
    </xdr:from>
    <xdr:to>
      <xdr:col>13</xdr:col>
      <xdr:colOff>708213</xdr:colOff>
      <xdr:row>48</xdr:row>
      <xdr:rowOff>143436</xdr:rowOff>
    </xdr:to>
    <xdr:graphicFrame macro="">
      <xdr:nvGraphicFramePr>
        <xdr:cNvPr id="9" name="Chart 8">
          <a:extLst>
            <a:ext uri="{FF2B5EF4-FFF2-40B4-BE49-F238E27FC236}">
              <a16:creationId xmlns:a16="http://schemas.microsoft.com/office/drawing/2014/main" id="{38516030-F135-2897-55D0-1D10FFB8B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4484</xdr:colOff>
      <xdr:row>17</xdr:row>
      <xdr:rowOff>0</xdr:rowOff>
    </xdr:from>
    <xdr:to>
      <xdr:col>13</xdr:col>
      <xdr:colOff>708214</xdr:colOff>
      <xdr:row>32</xdr:row>
      <xdr:rowOff>8965</xdr:rowOff>
    </xdr:to>
    <xdr:graphicFrame macro="">
      <xdr:nvGraphicFramePr>
        <xdr:cNvPr id="10" name="Chart 9">
          <a:extLst>
            <a:ext uri="{FF2B5EF4-FFF2-40B4-BE49-F238E27FC236}">
              <a16:creationId xmlns:a16="http://schemas.microsoft.com/office/drawing/2014/main" id="{777A31B0-8FF5-FB8F-AAD1-87F8FB239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0</xdr:colOff>
      <xdr:row>0</xdr:row>
      <xdr:rowOff>8962</xdr:rowOff>
    </xdr:from>
    <xdr:ext cx="5441576" cy="311496"/>
    <xdr:sp macro="[0]!Ordena_Puntos_Auditoria_Oculta" textlink="">
      <xdr:nvSpPr>
        <xdr:cNvPr id="2" name="TextBox 1">
          <a:extLst>
            <a:ext uri="{FF2B5EF4-FFF2-40B4-BE49-F238E27FC236}">
              <a16:creationId xmlns:a16="http://schemas.microsoft.com/office/drawing/2014/main" id="{02B2DC96-9E02-12E6-14AF-AD493A2CD9C1}"/>
            </a:ext>
          </a:extLst>
        </xdr:cNvPr>
        <xdr:cNvSpPr txBox="1"/>
      </xdr:nvSpPr>
      <xdr:spPr>
        <a:xfrm>
          <a:off x="0" y="8962"/>
          <a:ext cx="5441576" cy="311496"/>
        </a:xfrm>
        <a:prstGeom prst="rect">
          <a:avLst/>
        </a:prstGeom>
        <a:solidFill>
          <a:srgbClr val="FF0000"/>
        </a:solidFill>
        <a:ln w="19050">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spAutoFit/>
          <a:scene3d>
            <a:camera prst="orthographicFront"/>
            <a:lightRig rig="soft" dir="t">
              <a:rot lat="0" lon="0" rev="15600000"/>
            </a:lightRig>
          </a:scene3d>
          <a:sp3d extrusionH="57150" prstMaterial="softEdge">
            <a:bevelT w="25400" h="38100"/>
          </a:sp3d>
        </a:bodyPr>
        <a:lstStyle/>
        <a:p>
          <a:pPr algn="ctr"/>
          <a:r>
            <a:rPr lang="es-PA" sz="1400" b="1" cap="none" spc="0">
              <a:ln>
                <a:solidFill>
                  <a:srgbClr val="FFFF00"/>
                </a:solidFill>
              </a:ln>
              <a:solidFill>
                <a:schemeClr val="accent4"/>
              </a:solidFill>
              <a:effectLst>
                <a:glow rad="139700">
                  <a:schemeClr val="accent4">
                    <a:satMod val="175000"/>
                    <a:alpha val="40000"/>
                  </a:schemeClr>
                </a:glow>
              </a:effectLst>
            </a:rPr>
            <a:t>Sistema de Gestión de Tareas COE</a:t>
          </a:r>
        </a:p>
      </xdr:txBody>
    </xdr:sp>
    <xdr:clientData fLocksWithSheet="0"/>
  </xdr:oneCellAnchor>
  <mc:AlternateContent xmlns:mc="http://schemas.openxmlformats.org/markup-compatibility/2006">
    <mc:Choice xmlns:a14="http://schemas.microsoft.com/office/drawing/2010/main" Requires="a14">
      <xdr:twoCellAnchor>
        <xdr:from>
          <xdr:col>3</xdr:col>
          <xdr:colOff>205740</xdr:colOff>
          <xdr:row>1</xdr:row>
          <xdr:rowOff>160020</xdr:rowOff>
        </xdr:from>
        <xdr:to>
          <xdr:col>6</xdr:col>
          <xdr:colOff>190500</xdr:colOff>
          <xdr:row>4</xdr:row>
          <xdr:rowOff>144780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100-00002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Generar Análisis Detallado</a:t>
              </a:r>
            </a:p>
          </xdr:txBody>
        </xdr:sp>
        <xdr:clientData fPrintsWithSheet="0"/>
      </xdr:twoCellAnchor>
    </mc:Choice>
    <mc:Fallback/>
  </mc:AlternateContent>
  <xdr:twoCellAnchor editAs="oneCell">
    <xdr:from>
      <xdr:col>9</xdr:col>
      <xdr:colOff>284106</xdr:colOff>
      <xdr:row>6</xdr:row>
      <xdr:rowOff>51547</xdr:rowOff>
    </xdr:from>
    <xdr:to>
      <xdr:col>11</xdr:col>
      <xdr:colOff>665106</xdr:colOff>
      <xdr:row>16</xdr:row>
      <xdr:rowOff>179294</xdr:rowOff>
    </xdr:to>
    <mc:AlternateContent xmlns:mc="http://schemas.openxmlformats.org/markup-compatibility/2006" xmlns:a14="http://schemas.microsoft.com/office/drawing/2010/main">
      <mc:Choice Requires="a14">
        <xdr:graphicFrame macro="">
          <xdr:nvGraphicFramePr>
            <xdr:cNvPr id="12" name="Responsable (Nombre)">
              <a:extLst>
                <a:ext uri="{FF2B5EF4-FFF2-40B4-BE49-F238E27FC236}">
                  <a16:creationId xmlns:a16="http://schemas.microsoft.com/office/drawing/2014/main" id="{39FD39B8-8AD9-C799-6FA6-159185199B48}"/>
                </a:ext>
              </a:extLst>
            </xdr:cNvPr>
            <xdr:cNvGraphicFramePr/>
          </xdr:nvGraphicFramePr>
          <xdr:xfrm>
            <a:off x="0" y="0"/>
            <a:ext cx="0" cy="0"/>
          </xdr:xfrm>
          <a:graphic>
            <a:graphicData uri="http://schemas.microsoft.com/office/drawing/2010/slicer">
              <sle:slicer xmlns:sle="http://schemas.microsoft.com/office/drawing/2010/slicer" name="Responsable (Nombre)"/>
            </a:graphicData>
          </a:graphic>
        </xdr:graphicFrame>
      </mc:Choice>
      <mc:Fallback xmlns="">
        <xdr:sp macro="" textlink="">
          <xdr:nvSpPr>
            <xdr:cNvPr id="0" name=""/>
            <xdr:cNvSpPr>
              <a:spLocks noTextEdit="1"/>
            </xdr:cNvSpPr>
          </xdr:nvSpPr>
          <xdr:spPr>
            <a:xfrm>
              <a:off x="9042624" y="1387288"/>
              <a:ext cx="2129117" cy="1902759"/>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670595</xdr:colOff>
      <xdr:row>6</xdr:row>
      <xdr:rowOff>51545</xdr:rowOff>
    </xdr:from>
    <xdr:to>
      <xdr:col>14</xdr:col>
      <xdr:colOff>4827</xdr:colOff>
      <xdr:row>12</xdr:row>
      <xdr:rowOff>164122</xdr:rowOff>
    </xdr:to>
    <mc:AlternateContent xmlns:mc="http://schemas.openxmlformats.org/markup-compatibility/2006" xmlns:a14="http://schemas.microsoft.com/office/drawing/2010/main">
      <mc:Choice Requires="a14">
        <xdr:graphicFrame macro="">
          <xdr:nvGraphicFramePr>
            <xdr:cNvPr id="4" name="Estado">
              <a:extLst>
                <a:ext uri="{FF2B5EF4-FFF2-40B4-BE49-F238E27FC236}">
                  <a16:creationId xmlns:a16="http://schemas.microsoft.com/office/drawing/2014/main" id="{66C1FE86-A352-516A-E1C9-3574CA86C5D6}"/>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11177230" y="1387287"/>
              <a:ext cx="1719879" cy="1899312"/>
            </a:xfrm>
            <a:prstGeom prst="rect">
              <a:avLst/>
            </a:prstGeom>
            <a:solidFill>
              <a:prstClr val="white"/>
            </a:solidFill>
            <a:ln w="1">
              <a:solidFill>
                <a:prstClr val="green"/>
              </a:solidFill>
            </a:ln>
          </xdr:spPr>
          <xdr:txBody>
            <a:bodyPr vertOverflow="clip" horzOverflow="clip"/>
            <a:lstStyle/>
            <a:p>
              <a:r>
                <a:rPr lang="es-P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0</xdr:col>
      <xdr:colOff>0</xdr:colOff>
      <xdr:row>11</xdr:row>
      <xdr:rowOff>107574</xdr:rowOff>
    </xdr:from>
    <xdr:ext cx="5441576" cy="311496"/>
    <xdr:sp macro="[0]!Muestra_Auditoria" textlink="">
      <xdr:nvSpPr>
        <xdr:cNvPr id="5" name="TextBox 4">
          <a:extLst>
            <a:ext uri="{FF2B5EF4-FFF2-40B4-BE49-F238E27FC236}">
              <a16:creationId xmlns:a16="http://schemas.microsoft.com/office/drawing/2014/main" id="{CDB7C997-03A5-48E9-95CA-3FAD23BBE603}"/>
            </a:ext>
          </a:extLst>
        </xdr:cNvPr>
        <xdr:cNvSpPr txBox="1"/>
      </xdr:nvSpPr>
      <xdr:spPr>
        <a:xfrm>
          <a:off x="0" y="2339786"/>
          <a:ext cx="5441576" cy="311496"/>
        </a:xfrm>
        <a:prstGeom prst="rect">
          <a:avLst/>
        </a:prstGeom>
        <a:solidFill>
          <a:srgbClr val="FF0000"/>
        </a:solidFill>
        <a:ln w="19050">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spAutoFit/>
          <a:scene3d>
            <a:camera prst="orthographicFront"/>
            <a:lightRig rig="soft" dir="t">
              <a:rot lat="0" lon="0" rev="15600000"/>
            </a:lightRig>
          </a:scene3d>
          <a:sp3d extrusionH="57150" prstMaterial="softEdge">
            <a:bevelT w="25400" h="38100"/>
          </a:sp3d>
        </a:bodyPr>
        <a:lstStyle/>
        <a:p>
          <a:pPr algn="ctr"/>
          <a:r>
            <a:rPr lang="es-PA" sz="1400" b="1" cap="none" spc="0">
              <a:ln>
                <a:solidFill>
                  <a:srgbClr val="FFFF00"/>
                </a:solidFill>
              </a:ln>
              <a:solidFill>
                <a:schemeClr val="accent4"/>
              </a:solidFill>
              <a:effectLst>
                <a:glow rad="139700">
                  <a:schemeClr val="accent4">
                    <a:satMod val="175000"/>
                    <a:alpha val="40000"/>
                  </a:schemeClr>
                </a:glow>
              </a:effectLst>
            </a:rPr>
            <a:t>Para Auditoría</a:t>
          </a:r>
        </a:p>
      </xdr:txBody>
    </xdr:sp>
    <xdr:clientData/>
  </xdr:oneCellAnchor>
  <mc:AlternateContent xmlns:mc="http://schemas.openxmlformats.org/markup-compatibility/2006">
    <mc:Choice xmlns:a14="http://schemas.microsoft.com/office/drawing/2010/main" Requires="a14">
      <xdr:twoCellAnchor>
        <xdr:from>
          <xdr:col>2</xdr:col>
          <xdr:colOff>335280</xdr:colOff>
          <xdr:row>13</xdr:row>
          <xdr:rowOff>175260</xdr:rowOff>
        </xdr:from>
        <xdr:to>
          <xdr:col>4</xdr:col>
          <xdr:colOff>45720</xdr:colOff>
          <xdr:row>16</xdr:row>
          <xdr:rowOff>99060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ea typeface="Calibri"/>
                  <a:cs typeface="Calibri"/>
                </a:rPr>
                <a:t>Generar Evidencia para Auditores</a:t>
              </a:r>
            </a:p>
          </xdr:txBody>
        </xdr:sp>
        <xdr:clientData fPrintsWithSheet="0"/>
      </xdr:twoCellAnchor>
    </mc:Choice>
    <mc:Fallback/>
  </mc:AlternateContent>
  <xdr:twoCellAnchor editAs="oneCell">
    <xdr:from>
      <xdr:col>3</xdr:col>
      <xdr:colOff>224119</xdr:colOff>
      <xdr:row>6</xdr:row>
      <xdr:rowOff>92282</xdr:rowOff>
    </xdr:from>
    <xdr:to>
      <xdr:col>6</xdr:col>
      <xdr:colOff>180451</xdr:colOff>
      <xdr:row>10</xdr:row>
      <xdr:rowOff>75342</xdr:rowOff>
    </xdr:to>
    <xdr:pic>
      <xdr:nvPicPr>
        <xdr:cNvPr id="13" name="Picture 12">
          <a:extLst>
            <a:ext uri="{FF2B5EF4-FFF2-40B4-BE49-F238E27FC236}">
              <a16:creationId xmlns:a16="http://schemas.microsoft.com/office/drawing/2014/main" id="{1BD948BB-D8E7-AB7E-E9A8-46E52DE89559}"/>
            </a:ext>
          </a:extLst>
        </xdr:cNvPr>
        <xdr:cNvPicPr>
          <a:picLocks noChangeAspect="1"/>
        </xdr:cNvPicPr>
      </xdr:nvPicPr>
      <xdr:blipFill>
        <a:blip xmlns:r="http://schemas.openxmlformats.org/officeDocument/2006/relationships" r:embed="rId4"/>
        <a:stretch>
          <a:fillRect/>
        </a:stretch>
      </xdr:blipFill>
      <xdr:spPr>
        <a:xfrm>
          <a:off x="2931460" y="1419058"/>
          <a:ext cx="1785132" cy="700237"/>
        </a:xfrm>
        <a:prstGeom prst="rect">
          <a:avLst/>
        </a:prstGeom>
        <a:ln>
          <a:solidFill>
            <a:srgbClr val="C00000"/>
          </a:solid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cas Miranda (DHL PA)" refreshedDate="45858.431039583331" createdVersion="3" refreshedVersion="8" minRefreshableVersion="3" recordCount="224" xr:uid="{DDB97840-659C-4217-8478-42E6F7C67B43}">
  <cacheSource type="worksheet">
    <worksheetSource name="tbl_Datos"/>
  </cacheSource>
  <cacheFields count="16">
    <cacheField name="ID_Ejecutable" numFmtId="0">
      <sharedItems/>
    </cacheField>
    <cacheField name="Pilar" numFmtId="0">
      <sharedItems/>
    </cacheField>
    <cacheField name="Punto_COE" numFmtId="0">
      <sharedItems containsBlank="1"/>
    </cacheField>
    <cacheField name="Nombre_Tarea" numFmtId="0">
      <sharedItems containsBlank="1"/>
    </cacheField>
    <cacheField name="Fecha_Asignada" numFmtId="14">
      <sharedItems containsNonDate="0" containsDate="1" containsString="0" containsBlank="1" minDate="2025-07-08T00:00:00" maxDate="2025-07-10T00:00:00"/>
    </cacheField>
    <cacheField name="Estado" numFmtId="0">
      <sharedItems containsBlank="1"/>
    </cacheField>
    <cacheField name="Responsable" numFmtId="0">
      <sharedItems containsBlank="1" count="5">
        <s v="Gerente"/>
        <s v="CSD"/>
        <s v="Supervisor FL"/>
        <s v="Supervisor BL"/>
        <m/>
      </sharedItems>
    </cacheField>
    <cacheField name="Fecha_Completada" numFmtId="14">
      <sharedItems containsNonDate="0" containsDate="1" containsString="0" containsBlank="1" minDate="2025-07-08T00:00:00" maxDate="2025-07-16T00:00:00"/>
    </cacheField>
    <cacheField name="Link_Evidencia_Real" numFmtId="0">
      <sharedItems containsBlank="1"/>
    </cacheField>
    <cacheField name="Comentarios_Ejecucion" numFmtId="0">
      <sharedItems containsNonDate="0" containsString="0" containsBlank="1"/>
    </cacheField>
    <cacheField name="Descripcion_Instrucciones" numFmtId="0">
      <sharedItems containsBlank="1"/>
    </cacheField>
    <cacheField name="Checklist" numFmtId="0">
      <sharedItems containsBlank="1"/>
    </cacheField>
    <cacheField name="ID_Maestra_Ref" numFmtId="0">
      <sharedItems containsBlank="1"/>
    </cacheField>
    <cacheField name="Atajo para Editar Tarea" numFmtId="0">
      <sharedItems containsBlank="1"/>
    </cacheField>
    <cacheField name="Responsable (Nombre)" numFmtId="0">
      <sharedItems containsNonDate="0" containsString="0" containsBlank="1" count="1">
        <m/>
      </sharedItems>
    </cacheField>
    <cacheField name="Dias_Para_Completar" numFmtId="0">
      <sharedItems containsString="0" containsBlank="1"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cas Miranda (DHL PA)" refreshedDate="45858.431039699077" createdVersion="3" refreshedVersion="8" minRefreshableVersion="3" recordCount="224" xr:uid="{365BBB27-5FDD-4ED0-9DA4-3D97BE399F38}">
  <cacheSource type="worksheet">
    <worksheetSource name="tbl_Datos"/>
  </cacheSource>
  <cacheFields count="16">
    <cacheField name="ID_Ejecutable" numFmtId="0">
      <sharedItems/>
    </cacheField>
    <cacheField name="Pilar" numFmtId="0">
      <sharedItems/>
    </cacheField>
    <cacheField name="Punto_COE" numFmtId="0">
      <sharedItems containsBlank="1"/>
    </cacheField>
    <cacheField name="Nombre_Tarea" numFmtId="0">
      <sharedItems containsBlank="1"/>
    </cacheField>
    <cacheField name="Fecha_Asignada" numFmtId="14">
      <sharedItems containsNonDate="0" containsDate="1" containsString="0" containsBlank="1" minDate="2025-07-08T00:00:00" maxDate="2025-07-10T00:00:00"/>
    </cacheField>
    <cacheField name="Estado" numFmtId="0">
      <sharedItems containsBlank="1"/>
    </cacheField>
    <cacheField name="Responsable" numFmtId="0">
      <sharedItems containsBlank="1" count="5">
        <s v="Gerente"/>
        <s v="CSD"/>
        <s v="Supervisor FL"/>
        <s v="Supervisor BL"/>
        <m/>
      </sharedItems>
    </cacheField>
    <cacheField name="Fecha_Completada" numFmtId="14">
      <sharedItems containsNonDate="0" containsDate="1" containsString="0" containsBlank="1" minDate="2025-07-08T00:00:00" maxDate="2025-07-16T00:00:00"/>
    </cacheField>
    <cacheField name="Link_Evidencia_Real" numFmtId="0">
      <sharedItems containsBlank="1"/>
    </cacheField>
    <cacheField name="Comentarios_Ejecucion" numFmtId="0">
      <sharedItems containsNonDate="0" containsString="0" containsBlank="1"/>
    </cacheField>
    <cacheField name="Descripcion_Instrucciones" numFmtId="0">
      <sharedItems containsBlank="1"/>
    </cacheField>
    <cacheField name="Checklist" numFmtId="0">
      <sharedItems containsBlank="1"/>
    </cacheField>
    <cacheField name="ID_Maestra_Ref" numFmtId="0">
      <sharedItems containsBlank="1"/>
    </cacheField>
    <cacheField name="Atajo para Editar Tarea" numFmtId="0">
      <sharedItems containsBlank="1"/>
    </cacheField>
    <cacheField name="Responsable (Nombre)" numFmtId="0">
      <sharedItems containsNonDate="0" containsBlank="1" count="6">
        <m/>
        <s v="Carlos Rivas" u="1"/>
        <s v="Ana Pérez" u="1"/>
        <s v="David Cruz" u="1"/>
        <s v="Laura Gil" u="1"/>
        <s v="Elena Soto" u="1"/>
      </sharedItems>
    </cacheField>
    <cacheField name="Dias_Para_Completar" numFmtId="0">
      <sharedItems containsString="0" containsBlank="1"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cas Miranda (DHL PA)" refreshedDate="45858.431039814815" createdVersion="8" refreshedVersion="8" minRefreshableVersion="3" recordCount="224" xr:uid="{4328C21E-9BE5-49CE-9D57-46C48697E9EC}">
  <cacheSource type="worksheet">
    <worksheetSource name="tbl_Datos"/>
  </cacheSource>
  <cacheFields count="16">
    <cacheField name="ID_Ejecutable" numFmtId="0">
      <sharedItems/>
    </cacheField>
    <cacheField name="Pilar" numFmtId="0">
      <sharedItems count="4">
        <s v="L"/>
        <s v="M"/>
        <s v="P"/>
        <s v="T"/>
      </sharedItems>
    </cacheField>
    <cacheField name="Punto_COE" numFmtId="0">
      <sharedItems containsBlank="1"/>
    </cacheField>
    <cacheField name="Nombre_Tarea" numFmtId="0">
      <sharedItems containsBlank="1"/>
    </cacheField>
    <cacheField name="Fecha_Asignada" numFmtId="14">
      <sharedItems containsNonDate="0" containsDate="1" containsString="0" containsBlank="1" minDate="2024-11-01T00:00:00" maxDate="2025-07-10T00:00:00" count="17">
        <d v="2025-07-08T00:00:00"/>
        <d v="2025-07-09T00:00:00"/>
        <m/>
        <d v="2024-11-01T00:00:00" u="1"/>
        <d v="2025-01-01T00:00:00" u="1"/>
        <d v="2025-02-21T00:00:00" u="1"/>
        <d v="2025-05-01T00:00:00" u="1"/>
        <d v="2025-06-16T00:00:00" u="1"/>
        <d v="2025-06-21T00:00:00" u="1"/>
        <d v="2025-06-22T00:00:00" u="1"/>
        <d v="2025-06-23T00:00:00" u="1"/>
        <d v="2025-06-24T00:00:00" u="1"/>
        <d v="2025-06-25T00:00:00" u="1"/>
        <d v="2025-06-26T00:00:00" u="1"/>
        <d v="2025-06-27T00:00:00" u="1"/>
        <d v="2025-06-28T00:00:00" u="1"/>
        <d v="2025-06-29T00:00:00" u="1"/>
      </sharedItems>
    </cacheField>
    <cacheField name="Estado" numFmtId="0">
      <sharedItems containsBlank="1" count="4">
        <s v="Completada"/>
        <s v="Pendiente"/>
        <s v="Vencida"/>
        <m/>
      </sharedItems>
    </cacheField>
    <cacheField name="Responsable" numFmtId="0">
      <sharedItems containsBlank="1" count="5">
        <s v="Gerente"/>
        <s v="CSD"/>
        <s v="Supervisor FL"/>
        <s v="Supervisor BL"/>
        <m/>
      </sharedItems>
    </cacheField>
    <cacheField name="Fecha_Completada" numFmtId="14">
      <sharedItems containsNonDate="0" containsDate="1" containsString="0" containsBlank="1" minDate="2025-07-08T00:00:00" maxDate="2025-07-16T00:00:00"/>
    </cacheField>
    <cacheField name="Link_Evidencia_Real" numFmtId="0">
      <sharedItems containsBlank="1"/>
    </cacheField>
    <cacheField name="Comentarios_Ejecucion" numFmtId="0">
      <sharedItems containsNonDate="0" containsString="0" containsBlank="1"/>
    </cacheField>
    <cacheField name="Descripcion_Instrucciones" numFmtId="0">
      <sharedItems containsBlank="1"/>
    </cacheField>
    <cacheField name="Checklist" numFmtId="0">
      <sharedItems containsBlank="1"/>
    </cacheField>
    <cacheField name="ID_Maestra_Ref" numFmtId="0">
      <sharedItems containsBlank="1"/>
    </cacheField>
    <cacheField name="Atajo para Editar Tarea" numFmtId="0">
      <sharedItems containsBlank="1"/>
    </cacheField>
    <cacheField name="Responsable (Nombre)" numFmtId="0">
      <sharedItems containsNonDate="0" containsBlank="1" count="6">
        <m/>
        <s v="Carlos Rivas" u="1"/>
        <s v="Ana Pérez" u="1"/>
        <s v="David Cruz" u="1"/>
        <s v="Laura Gil" u="1"/>
        <s v="Elena Soto" u="1"/>
      </sharedItems>
    </cacheField>
    <cacheField name="Dias_Para_Completar" numFmtId="0">
      <sharedItems containsString="0" containsBlank="1" containsNumber="1" containsInteger="1" minValue="0" maxValue="7"/>
    </cacheField>
  </cacheFields>
  <extLst>
    <ext xmlns:x14="http://schemas.microsoft.com/office/spreadsheetml/2009/9/main" uri="{725AE2AE-9491-48be-B2B4-4EB974FC3084}">
      <x14:pivotCacheDefinition pivotCacheId="8602167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
  <r>
    <s v="T20250708-2"/>
    <s v="L"/>
    <s v="L01"/>
    <s v="Definir y mantener actualizado el CSE Scorecard"/>
    <d v="2025-07-08T00:00:00"/>
    <s v="Completada"/>
    <x v="0"/>
    <d v="2025-07-08T00:00:00"/>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n v="0"/>
  </r>
  <r>
    <s v="T20250708-3"/>
    <s v="L"/>
    <s v="L01"/>
    <s v="Definir y mantener actualizado el CSE Scorecard"/>
    <d v="2025-07-08T00:00:00"/>
    <s v="Pendiente"/>
    <x v="1"/>
    <m/>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m/>
  </r>
  <r>
    <s v="T20250708-4"/>
    <s v="L"/>
    <s v="L01"/>
    <s v="Comunicar y capacitar sobre el CSE Scorecard"/>
    <d v="2025-07-08T00:00:00"/>
    <s v="Completada"/>
    <x v="0"/>
    <d v="2025-07-08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0"/>
  </r>
  <r>
    <s v="T20250708-5"/>
    <s v="L"/>
    <s v="L01"/>
    <s v="Comunicar y capacitar sobre el CSE Scorecard"/>
    <d v="2025-07-08T00:00:00"/>
    <s v="Completada"/>
    <x v="2"/>
    <d v="2025-07-15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7"/>
  </r>
  <r>
    <s v="T20250708-6"/>
    <s v="L"/>
    <s v="L01"/>
    <s v="Comunicar y capacitar sobre el CSE Scorecard"/>
    <d v="2025-07-08T00:00:00"/>
    <s v="Pendiente"/>
    <x v="3"/>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7"/>
    <s v="L"/>
    <s v="L01"/>
    <s v="Comunicar y capacitar sobre el CSE Scorecard"/>
    <d v="2025-07-08T00:00:00"/>
    <s v="Pendiente"/>
    <x v="1"/>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8"/>
    <s v="L"/>
    <s v="L01"/>
    <s v="Preparación para Auditoría - Simulacro KPIs"/>
    <d v="2025-07-08T00:00:00"/>
    <s v="Completada"/>
    <x v="0"/>
    <d v="2025-07-08T00:00:00"/>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n v="0"/>
  </r>
  <r>
    <s v="T20250708-9"/>
    <s v="L"/>
    <s v="L01"/>
    <s v="Preparación para Auditoría - Simulacro KPIs"/>
    <d v="2025-07-08T00:00:00"/>
    <s v="Pendiente"/>
    <x v="2"/>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0"/>
    <s v="L"/>
    <s v="L01"/>
    <s v="Preparación para Auditoría - Simulacro KPIs"/>
    <d v="2025-07-08T00:00:00"/>
    <s v="Pendiente"/>
    <x v="3"/>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1"/>
    <s v="L"/>
    <s v="L01"/>
    <s v="Preparación para Auditoría - Simulacro KPIs"/>
    <d v="2025-07-08T00:00:00"/>
    <s v="Pendiente"/>
    <x v="1"/>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2"/>
    <s v="L"/>
    <s v="L01"/>
    <s v="Asegurar que Gerencia y Supervisores expliquen el Scorecard"/>
    <d v="2025-07-08T00:00:00"/>
    <s v="Completada"/>
    <x v="0"/>
    <d v="2025-07-08T00:00:00"/>
    <s v="https://ppmt.dhl.com/ppmt/#/ppmt/auth"/>
    <m/>
    <s v="Gerente auto-prepara y prepara a Supervisores en todas las métricas, cálculo e impacto."/>
    <s v="Sesión de preparación con Supervisores y CSD"/>
    <s v="L01-04"/>
    <s v="Presionar Ctrl+Shift+E"/>
    <x v="0"/>
    <n v="0"/>
  </r>
  <r>
    <s v="T20250708-13"/>
    <s v="L"/>
    <s v="L01"/>
    <s v="Verificar accesibilidad del CSE Scorecard"/>
    <d v="2025-07-08T00:00:00"/>
    <s v="Pendiente"/>
    <x v="2"/>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4"/>
    <s v="L"/>
    <s v="L01"/>
    <s v="Verificar accesibilidad del CSE Scorecard"/>
    <d v="2025-07-08T00:00:00"/>
    <s v="Pendiente"/>
    <x v="3"/>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5"/>
    <s v="L"/>
    <s v="L01"/>
    <s v="Verificar accesibilidad del CSE Scorecard"/>
    <d v="2025-07-08T00:00:00"/>
    <s v="Pendiente"/>
    <x v="1"/>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6"/>
    <s v="L"/>
    <s v="L02"/>
    <s v="Asegurar que existen Job Descriptions (JD) actualizadas"/>
    <d v="2025-07-08T00:00:00"/>
    <s v="Completada"/>
    <x v="0"/>
    <d v="2025-07-08T00:00:00"/>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n v="0"/>
  </r>
  <r>
    <s v="T20250708-17"/>
    <s v="L"/>
    <s v="L02"/>
    <s v="Asegurar que existen Job Descriptions (JD) actualizadas"/>
    <d v="2025-07-08T00:00:00"/>
    <s v="Pendiente"/>
    <x v="2"/>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8"/>
    <s v="L"/>
    <s v="L02"/>
    <s v="Asegurar que existen Job Descriptions (JD) actualizadas"/>
    <d v="2025-07-08T00:00:00"/>
    <s v="Pendiente"/>
    <x v="3"/>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9"/>
    <s v="L"/>
    <s v="L02"/>
    <s v="Asegurar que existen Job Descriptions (JD) actualizadas"/>
    <d v="2025-07-08T00:00:00"/>
    <s v="Pendiente"/>
    <x v="1"/>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20"/>
    <s v="L"/>
    <s v="L02"/>
    <s v="Comunicar formalmente las JDs y obtener acuse de recibo"/>
    <d v="2025-07-08T00:00:00"/>
    <s v="Completada"/>
    <x v="0"/>
    <d v="2025-07-08T00:00:00"/>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n v="0"/>
  </r>
  <r>
    <s v="T20250708-21"/>
    <s v="L"/>
    <s v="L02"/>
    <s v="Comunicar formalmente las JDs y obtener acuse de recibo"/>
    <d v="2025-07-08T00:00:00"/>
    <s v="Pendiente"/>
    <x v="2"/>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2"/>
    <s v="L"/>
    <s v="L02"/>
    <s v="Comunicar formalmente las JDs y obtener acuse de recibo"/>
    <d v="2025-07-08T00:00:00"/>
    <s v="Pendiente"/>
    <x v="3"/>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3"/>
    <s v="L"/>
    <s v="L02"/>
    <s v="Asegurar actualización del sistema HR (MyTalentWorld)"/>
    <d v="2025-07-08T00:00:00"/>
    <s v="Completada"/>
    <x v="0"/>
    <d v="2025-07-08T00:00:00"/>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n v="0"/>
  </r>
  <r>
    <s v="T20250708-24"/>
    <s v="L"/>
    <s v="L02"/>
    <s v="Asegurar actualización del sistema HR (MyTalentWorld)"/>
    <d v="2025-07-08T00:00:00"/>
    <s v="Pendiente"/>
    <x v="2"/>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5"/>
    <s v="L"/>
    <s v="L02"/>
    <s v="Asegurar actualización del sistema HR (MyTalentWorld)"/>
    <d v="2025-07-08T00:00:00"/>
    <s v="Pendiente"/>
    <x v="3"/>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6"/>
    <s v="L"/>
    <s v="L02"/>
    <s v="Preparación para Auditoría - Simulacro JDs y en MyTalent"/>
    <d v="2025-07-08T00:00:00"/>
    <s v="Pendiente"/>
    <x v="2"/>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7"/>
    <s v="L"/>
    <s v="L02"/>
    <s v="Preparación para Auditoría - Simulacro JDs y en MyTalent"/>
    <d v="2025-07-08T00:00:00"/>
    <s v="Pendiente"/>
    <x v="3"/>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8"/>
    <s v="L"/>
    <s v="L02"/>
    <s v="Verificar accesibilidad de JDs"/>
    <d v="2025-07-08T00:00:00"/>
    <s v="Pendiente"/>
    <x v="1"/>
    <m/>
    <s v="https://app.getguru.com/folders/TokX4aMc/L2"/>
    <m/>
    <s v="Gerente define repositorio, CSD apoya en gestión. La tarea es la verificación."/>
    <s v="Verificar acceso a repositorio de JDs"/>
    <s v="L02-05"/>
    <s v="Presionar Ctrl+Shift+E"/>
    <x v="0"/>
    <m/>
  </r>
  <r>
    <s v="T20250708-29"/>
    <s v="L"/>
    <s v="L03"/>
    <s v="Ejecutar reunión departamental mensual"/>
    <d v="2025-07-08T00:00:00"/>
    <s v="Completada"/>
    <x v="0"/>
    <d v="2025-07-08T00:00:00"/>
    <s v="https://app.getguru.com/folders/ixj7eBpT/Revisiones-de-equipo"/>
    <m/>
    <s v="Gerente lidera la reunión mensual con todo el departamento."/>
    <s v="Realizar reunión mensual departamental"/>
    <s v="L03-02"/>
    <s v="Presionar Ctrl+Shift+E"/>
    <x v="0"/>
    <n v="0"/>
  </r>
  <r>
    <s v="T20250708-30"/>
    <s v="L"/>
    <s v="L03"/>
    <s v="Distribuir reportes de desempeño a los agentes para su revisión y análisis"/>
    <d v="2025-07-08T00:00:00"/>
    <s v="Vencida"/>
    <x v="1"/>
    <m/>
    <s v="https://app.getguru.com/card/cgEbRpAi/COE-M3-M4-Daily-Reporting-CS-PA-"/>
    <m/>
    <s v="CSD genera y distribuye reportes base. Supervisores comunican y explican a equipos."/>
    <s v="Generar y enviar reporte diario de KPIs"/>
    <s v="L03-03"/>
    <s v="Presionar Ctrl+Shift+E"/>
    <x v="0"/>
    <m/>
  </r>
  <r>
    <s v="T20250708-31"/>
    <s v="L"/>
    <s v="L04"/>
    <s v="Generar forecast de llamadas (mensual)"/>
    <d v="2025-07-08T00:00:00"/>
    <s v="Pendiente"/>
    <x v="1"/>
    <m/>
    <s v="https://dpdhl.sharepoint.com/:x:/r/teams/CSManagement962/Shared%20Documents/General/Directorio%20COE/L4%20Capacity%20FL/2025/Capacity/PA%20-%20WFM%20Tool%20Frontline%202025.xlsm?d=w67e1cbbeca88499180eaf51b9eba8bb3&amp;csf=1&amp;web=1&amp;e=v9L09M"/>
    <m/>
    <s v="CSD genera el forecast mensual de llamadas según metodología."/>
    <s v="Generar forecast mensual de llamadas"/>
    <s v="L04-01"/>
    <s v="Presionar Ctrl+Shift+E"/>
    <x v="0"/>
    <m/>
  </r>
  <r>
    <s v="T20250708-32"/>
    <s v="L"/>
    <s v="L04"/>
    <s v="Revisar y validar internamente el forecast de llamadas"/>
    <d v="2025-07-08T00:00:00"/>
    <s v="Completada"/>
    <x v="0"/>
    <d v="2025-07-08T00:00:00"/>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n v="0"/>
  </r>
  <r>
    <s v="T20250708-33"/>
    <s v="L"/>
    <s v="L04"/>
    <s v="Revisar y validar internamente el forecast de llamadas"/>
    <d v="2025-07-08T00:00:00"/>
    <s v="Pendiente"/>
    <x v="1"/>
    <m/>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m/>
  </r>
  <r>
    <s v="T20250708-34"/>
    <s v="L"/>
    <s v="L04"/>
    <s v="Revisar metodología de forecasting de llamadas"/>
    <d v="2025-07-08T00:00:00"/>
    <s v="Pendiente"/>
    <x v="1"/>
    <m/>
    <m/>
    <m/>
    <s v="Revisión semestral de la metodología documentada."/>
    <s v="Revisar documento de metodología;Validar parámetros OET;Aprobar metodología"/>
    <s v="L04-03"/>
    <s v="Presionar Ctrl+Shift+E"/>
    <x v="0"/>
    <m/>
  </r>
  <r>
    <s v="T20250708-35"/>
    <s v="L"/>
    <s v="L04"/>
    <s v="Revisar metodología de forecasting de llamadas"/>
    <d v="2025-07-08T00:00:00"/>
    <s v="Completada"/>
    <x v="0"/>
    <d v="2025-07-08T00:00:00"/>
    <m/>
    <m/>
    <s v="Revisión semestral de la metodología documentada."/>
    <s v="Revisar documento de metodología;Validar parámetros OET;Aprobar metodología"/>
    <s v="L04-03"/>
    <s v="Presionar Ctrl+Shift+E"/>
    <x v="0"/>
    <n v="0"/>
  </r>
  <r>
    <s v="T20250708-36"/>
    <s v="L"/>
    <s v="L04"/>
    <s v="Revisar shrinkage de archivo Monthly report y cargarlo en capacity"/>
    <d v="2025-07-08T00:00:00"/>
    <s v="Pendiente"/>
    <x v="1"/>
    <m/>
    <s v="https://dpdhl.sharepoint.com/:f:/r/teams/CSManagement962/Shared%20Documents/General/Directorio%20COE/L4%20Capacity%20FL/2025/Monthly%20report?csf=1&amp;web=1&amp;e=MA6jfF"/>
    <m/>
    <m/>
    <m/>
    <s v="L04-04"/>
    <s v="Presionar Ctrl+Shift+E"/>
    <x v="0"/>
    <m/>
  </r>
  <r>
    <s v="T20250708-37"/>
    <s v="L"/>
    <s v="L04"/>
    <s v="Revisar cada vez que se necesite hacer un re-forecast por variaciones significativas en llamadas, shrinkage, GOS"/>
    <d v="2025-07-08T00:00:00"/>
    <s v="Pendiente"/>
    <x v="1"/>
    <m/>
    <s v="https://dpdhl.sharepoint.com/:f:/r/teams/CSManagement962/Shared%20Documents/General/Directorio%20COE/L4%20Capacity%20FL/2025/Necesidad%20de%20re-forecast?csf=1&amp;web=1&amp;e=Dhv5LU"/>
    <m/>
    <m/>
    <m/>
    <s v="L04-07"/>
    <s v="Presionar Ctrl+Shift+E"/>
    <x v="0"/>
    <m/>
  </r>
  <r>
    <s v="T20250708-38"/>
    <s v="L"/>
    <s v="L05"/>
    <s v="Calcular y analizar variación mensual de llamadas"/>
    <d v="2025-07-08T00:00:00"/>
    <s v="Pendiente"/>
    <x v="1"/>
    <m/>
    <s v="https://dpdhl.sharepoint.com/:x:/r/teams/CSManagement962/Shared%20Documents/General/Directorio%20COE/L5%20Forecast%20accuracy%20FL/2025/PA%20Monthly%20Forecast%20Assessment%20Summary%202025.xlsx?d=w2a3a1abb459e4904bc00b4480718c25e&amp;csf=1&amp;web=1&amp;e=aoqopv"/>
    <m/>
    <s v="CSD calcula la variación. Si excede +/-10%, investiga y documenta causas con validación del Gerente."/>
    <s v="Calcular variación vs forecast;Analizar causas si &gt;10%;Documentar análisis y acciones"/>
    <s v="L05-01"/>
    <s v="Presionar Ctrl+Shift+E"/>
    <x v="0"/>
    <m/>
  </r>
  <r>
    <s v="T20250708-39"/>
    <s v="L"/>
    <s v="L05"/>
    <s v="Revisar diariamente llamadas reales vs. forecast y hacer comentarios cuando la variación es de +/- 10%"/>
    <d v="2025-07-08T00:00:00"/>
    <s v="Vencida"/>
    <x v="1"/>
    <m/>
    <s v="https://dpdhl.sharepoint.com/:x:/r/teams/CSManagement962/Shared%20Documents/General/Directorio%20COE/L4%20Capacity%20FL/2025/Capacity/PA%20-%20WFM%20Tool%20Frontline%202025.xlsm?d=w67e1cbbeca88499180eaf51b9eba8bb3&amp;csf=1&amp;web=1&amp;e=7MLSz6"/>
    <m/>
    <m/>
    <m/>
    <s v="L05-02"/>
    <s v="Presionar Ctrl+Shift+E"/>
    <x v="0"/>
    <m/>
  </r>
  <r>
    <s v="T20250708-40"/>
    <s v="L"/>
    <s v="L05"/>
    <s v="Realizar y guardar evidencia de re-forecast en WFM tool de acuerdo a variaciones en el volumen actual de llamadas para ajustar manpower"/>
    <d v="2025-07-08T00:00:00"/>
    <s v="Vencida"/>
    <x v="1"/>
    <m/>
    <s v="https://dpdhl.sharepoint.com/:f:/r/teams/CSManagement962/Shared%20Documents/General/Directorio%20COE/L5%20Forecast%20accuracy%20FL/2025/Evidencia%20re-forecast?csf=1&amp;web=1&amp;e=jIxJWn"/>
    <m/>
    <m/>
    <m/>
    <s v="L05-03"/>
    <s v="Presionar Ctrl+Shift+E"/>
    <x v="0"/>
    <m/>
  </r>
  <r>
    <s v="T20250708-41"/>
    <s v="L"/>
    <s v="L06"/>
    <s v="Generar forecast de chats (mensual)"/>
    <d v="2025-07-08T00:00:00"/>
    <s v="Pendiente"/>
    <x v="1"/>
    <m/>
    <s v="https://dpdhl.sharepoint.com/:x:/r/teams/CSManagement962/Shared%20Documents/General/Directorio%20COE/L6%20Capacity%20mail%20chat/PA_DHLE%20mail-chat%20WFM%20Tool.xlsm?d=w47debcb92c0248c0a729f0963c16d922&amp;csf=1&amp;web=1&amp;e=bwIziq"/>
    <m/>
    <s v="CSD genera el forecast mensual de chats según metodología."/>
    <s v="Generar forecast mensual de chats"/>
    <s v="L06-01"/>
    <s v="Presionar Ctrl+Shift+E"/>
    <x v="0"/>
    <m/>
  </r>
  <r>
    <s v="T20250708-42"/>
    <s v="L"/>
    <s v="L07"/>
    <s v="Calcular y analizar variación mensual de chats"/>
    <d v="2025-07-08T00:00:00"/>
    <s v="Pendiente"/>
    <x v="1"/>
    <m/>
    <s v="https://dpdhl.sharepoint.com/:f:/r/teams/CSManagement962/Shared%20Documents/General/Directorio%20COE/L6%20Capacity%20mail%20chat?csf=1&amp;web=1&amp;e=2joJXi"/>
    <m/>
    <s v="CSD calcula la variación. Si excede +/-10%, investiga y documenta causas con validación del Gerente."/>
    <s v="Calcular variación vs forecast;Analizar causas si &gt;10%;Documentar análisis y acciones"/>
    <s v="L07-01"/>
    <s v="Presionar Ctrl+Shift+E"/>
    <x v="0"/>
    <m/>
  </r>
  <r>
    <s v="T20250708-43"/>
    <s v="L"/>
    <s v="L08"/>
    <s v="Monitoreo en Tiempo Real (RTA) de adherencia y metricas fuera de lo normal (AHT, ACW prolongados, etc.)"/>
    <d v="2025-07-08T00:00:00"/>
    <s v="Vencida"/>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4"/>
    <s v="L"/>
    <s v="L08"/>
    <s v="Monitoreo en Tiempo Real (RTA) de adherencia y metricas fuera de lo normal (AHT, ACW prolongados, etc.)"/>
    <d v="2025-07-08T00:00:00"/>
    <s v="Vencida"/>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5"/>
    <s v="L"/>
    <s v="L09"/>
    <s v="Generar forecast de carga de trabajo BL/KAD (mensual)"/>
    <d v="2025-07-08T00:00:00"/>
    <s v="Pendiente"/>
    <x v="1"/>
    <m/>
    <s v="https://dpdhl.sharepoint.com/:x:/r/teams/CSManagement962/Shared%20Documents/General/Directorio%20COE/L9%20Capacity%20BL/2025/PA_DHLE%20BL%20WFM%20Tool.xlsm?d=w111cf45345d340f9b13cb5612f97eb16&amp;csf=1&amp;web=1&amp;e=LjS4WN"/>
    <m/>
    <s v="CSD genera forecast mensual de carga de trabajo para BL/KAD."/>
    <s v="Generar forecast BL/KAD"/>
    <s v="L09-01"/>
    <s v="Presionar Ctrl+Shift+E"/>
    <x v="0"/>
    <m/>
  </r>
  <r>
    <s v="T20250708-46"/>
    <s v="L"/>
    <s v="L09"/>
    <s v="Monitorear y analizar workload diario BL/KAD"/>
    <d v="2025-07-08T00:00:00"/>
    <s v="Vencida"/>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7"/>
    <s v="L"/>
    <s v="L09"/>
    <s v="Monitorear y analizar workload diario BL/KAD"/>
    <d v="2025-07-08T00:00:00"/>
    <s v="Vencida"/>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8"/>
    <s v="L"/>
    <s v="L09"/>
    <s v="Revisar precisión del forecast de BL/KAD"/>
    <d v="2025-07-08T00:00:00"/>
    <s v="Pendiente"/>
    <x v="1"/>
    <m/>
    <s v="https://dpdhl.sharepoint.com/:x:/r/teams/CSManagement962/Shared%20Documents/General/Directorio%20COE/L9%20Capacity%20BL/2025/CSA%20BL%20Tasks%202025.xlsx?d=w32ec743831a44361a041fe002b16478c&amp;csf=1&amp;web=1&amp;e=PDjraU"/>
    <m/>
    <m/>
    <m/>
    <s v="L09-03"/>
    <s v="Presionar Ctrl+Shift+E"/>
    <x v="0"/>
    <m/>
  </r>
  <r>
    <s v="T20250708-49"/>
    <s v="L"/>
    <s v="L09"/>
    <s v="Realizar Time &amp; Motion BL y KAD"/>
    <d v="2025-07-08T00:00:00"/>
    <s v="Pendiente"/>
    <x v="3"/>
    <m/>
    <s v="https://dpdhl.sharepoint.com/:x:/r/teams/CSManagement962/Shared%20Documents/General/Directorio%20COE/L9%20Capacity%20BL/2025/Time%20%26%20Motion%202025_06_PA.xlsm?d=wcbe5a33cb566445e92220d67ae92428c&amp;csf=1&amp;web=1&amp;e=bvivbF"/>
    <m/>
    <m/>
    <m/>
    <s v="L09-04"/>
    <s v="Presionar Ctrl+Shift+E"/>
    <x v="0"/>
    <m/>
  </r>
  <r>
    <s v="T20250708-50"/>
    <s v="L"/>
    <s v="L09"/>
    <s v="Realizar Time &amp; Motion BL y KAD"/>
    <d v="2025-07-08T00:00:00"/>
    <s v="Pendiente"/>
    <x v="1"/>
    <m/>
    <s v="https://dpdhl.sharepoint.com/:x:/r/teams/CSManagement962/Shared%20Documents/General/Directorio%20COE/L9%20Capacity%20BL/2025/Time%20%26%20Motion%202025_06_PA.xlsm?d=wcbe5a33cb566445e92220d67ae92428c&amp;csf=1&amp;web=1&amp;e=bvivbF"/>
    <m/>
    <m/>
    <m/>
    <s v="L09-04"/>
    <s v="Presionar Ctrl+Shift+E"/>
    <x v="0"/>
    <m/>
  </r>
  <r>
    <s v="T20250708-51"/>
    <s v="L"/>
    <s v="L09"/>
    <s v="Analizar Shrinkage BL/KAD"/>
    <d v="2025-07-08T00:00:00"/>
    <s v="Pendiente"/>
    <x v="1"/>
    <m/>
    <s v="https://dpdhl.sharepoint.com/:x:/r/teams/CSManagement962/Shared%20Documents/General/Directorio%20COE/L9%20Capacity%20BL/2025/PA%20-%20Shrinkage%20Calculator%202025.xlsm?d=wb3cbe9639f25489986bac96f06ee7eaa&amp;csf=1&amp;web=1&amp;e=ATvfWR"/>
    <m/>
    <m/>
    <m/>
    <s v="L09-05"/>
    <s v="Presionar Ctrl+Shift+E"/>
    <x v="0"/>
    <m/>
  </r>
  <r>
    <s v="T20250708-52"/>
    <s v="L"/>
    <s v="L09"/>
    <s v="Realizar workload KAD trimestral para balancear carteras de ser necesario"/>
    <d v="2025-07-08T00:00:00"/>
    <s v="Pendiente"/>
    <x v="3"/>
    <m/>
    <s v="https://dpdhl.sharepoint.com/:f:/r/teams/CSManagement962/Shared%20Documents/General/Directorio%20COE/L9%20Capacity%20BL/2025/Balance%20KAD%20trimestral?csf=1&amp;web=1&amp;e=jMhFJ2"/>
    <m/>
    <m/>
    <m/>
    <s v="L09-06"/>
    <s v="Presionar Ctrl+Shift+E"/>
    <x v="0"/>
    <m/>
  </r>
  <r>
    <s v="T20250708-53"/>
    <s v="L"/>
    <s v="L09"/>
    <s v="Realizar workload KAD trimestral para balancear carteras de ser necesario"/>
    <d v="2025-07-08T00:00:00"/>
    <s v="Pendiente"/>
    <x v="1"/>
    <m/>
    <s v="https://dpdhl.sharepoint.com/:f:/r/teams/CSManagement962/Shared%20Documents/General/Directorio%20COE/L9%20Capacity%20BL/2025/Balance%20KAD%20trimestral?csf=1&amp;web=1&amp;e=jMhFJ2"/>
    <m/>
    <m/>
    <m/>
    <s v="L09-06"/>
    <s v="Presionar Ctrl+Shift+E"/>
    <x v="0"/>
    <m/>
  </r>
  <r>
    <s v="T20250708-54"/>
    <s v="L"/>
    <s v="L11"/>
    <s v="Revisar y comunicar política de ausencias y vacaciones"/>
    <d v="2025-07-08T00:00:00"/>
    <s v="Completada"/>
    <x v="0"/>
    <d v="2025-07-08T00:00:00"/>
    <s v="https://app.getguru.com/card/cbeMoL9i/Poltica-de-vacaciones-asistencia-y-permisos-PA"/>
    <m/>
    <s v="Revisión anual de la política y umbrales de ausentismo."/>
    <s v="Revisar política de ausencias;Validar umbrales con CSD;Comunicar política"/>
    <s v="L11-01"/>
    <s v="Presionar Ctrl+Shift+E"/>
    <x v="0"/>
    <n v="0"/>
  </r>
  <r>
    <s v="T20250708-55"/>
    <s v="L"/>
    <s v="L11"/>
    <s v="Planificar y aprobar vacaciones anuales/semestrales"/>
    <d v="2025-07-08T00:00:00"/>
    <s v="Completada"/>
    <x v="0"/>
    <d v="2025-07-08T00:00:00"/>
    <s v="https://app.getguru.com/folders/caBo7eXi/L11-Vacaciones"/>
    <m/>
    <s v="Proceso de planificación de vacaciones para asegurar cobertura."/>
    <s v="Recolectar preferencias de vacaciones;Crear y aprobar plan de vacaciones"/>
    <s v="L11-02"/>
    <s v="Presionar Ctrl+Shift+E"/>
    <x v="0"/>
    <n v="0"/>
  </r>
  <r>
    <s v="T20250708-56"/>
    <s v="L"/>
    <s v="L11"/>
    <s v="Planificar y aprobar vacaciones anuales/semestrales"/>
    <d v="2025-07-08T00:00:00"/>
    <s v="Pendiente"/>
    <x v="1"/>
    <m/>
    <s v="https://app.getguru.com/folders/caBo7eXi/L11-Vacaciones"/>
    <m/>
    <s v="Proceso de planificación de vacaciones para asegurar cobertura."/>
    <s v="Recolectar preferencias de vacaciones;Crear y aprobar plan de vacaciones"/>
    <s v="L11-02"/>
    <s v="Presionar Ctrl+Shift+E"/>
    <x v="0"/>
    <m/>
  </r>
  <r>
    <s v="T20250708-57"/>
    <s v="L"/>
    <s v="L11"/>
    <s v="Rastrear y registrar ausencias"/>
    <d v="2025-07-08T00:00:00"/>
    <s v="Vencida"/>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8-58"/>
    <s v="L"/>
    <s v="L11"/>
    <s v="Revisar tendencia de ausencias y hacer planes de acción para corregir y guardar la evidencia"/>
    <d v="2025-07-08T00:00:00"/>
    <s v="Pendiente"/>
    <x v="2"/>
    <m/>
    <s v="https://dpdhl.sharepoint.com/:f:/r/teams/CSManagement962/Shared%20Documents/General/Directorio%20COE/L11%20Vacaciones/Vacaciones/2025?csf=1&amp;web=1&amp;e=TKXQce"/>
    <m/>
    <m/>
    <m/>
    <s v="L11-04"/>
    <s v="Presionar Ctrl+Shift+E"/>
    <x v="0"/>
    <m/>
  </r>
  <r>
    <s v="T20250708-59"/>
    <s v="L"/>
    <s v="L11"/>
    <s v="Revisar tendencia de ausencias y hacer planes de acción para corregir y guardar la evidencia"/>
    <d v="2025-07-08T00:00:00"/>
    <s v="Pendiente"/>
    <x v="3"/>
    <m/>
    <s v="https://dpdhl.sharepoint.com/:f:/r/teams/CSManagement962/Shared%20Documents/General/Directorio%20COE/L11%20Vacaciones/Vacaciones/2025?csf=1&amp;web=1&amp;e=TKXQce"/>
    <m/>
    <m/>
    <m/>
    <s v="L11-04"/>
    <s v="Presionar Ctrl+Shift+E"/>
    <x v="0"/>
    <m/>
  </r>
  <r>
    <s v="T20250708-60"/>
    <s v="L"/>
    <s v="L11"/>
    <s v="Revisar tendencia de ausencias y hacer planes de acción para corregir y guardar la evidencia"/>
    <d v="2025-07-08T00:00:00"/>
    <s v="Pendiente"/>
    <x v="1"/>
    <m/>
    <s v="https://dpdhl.sharepoint.com/:f:/r/teams/CSManagement962/Shared%20Documents/General/Directorio%20COE/L11%20Vacaciones/Vacaciones/2025?csf=1&amp;web=1&amp;e=TKXQce"/>
    <m/>
    <m/>
    <m/>
    <s v="L11-04"/>
    <s v="Presionar Ctrl+Shift+E"/>
    <x v="0"/>
    <m/>
  </r>
  <r>
    <s v="T20250708-61"/>
    <s v="L"/>
    <s v="L12"/>
    <s v="Revisar y actualizar buddy system"/>
    <d v="2025-07-08T00:00:00"/>
    <s v="Completada"/>
    <x v="0"/>
    <d v="2025-07-08T00:00:00"/>
    <s v="https://app.getguru.com/card/Ta8EeRyc/Politica-de-Buddies-L12"/>
    <m/>
    <s v="Revisión semestral del plan y actualización trimestral de la lista de buddys."/>
    <s v="Revisar plan de cobertura;Actualizar lista de buddys"/>
    <s v="L12-01"/>
    <s v="Presionar Ctrl+Shift+E"/>
    <x v="0"/>
    <n v="0"/>
  </r>
  <r>
    <s v="T20250708-62"/>
    <s v="L"/>
    <s v="L12"/>
    <s v="Revisar y actualizar buddy system"/>
    <d v="2025-07-08T00:00:00"/>
    <s v="Pendiente"/>
    <x v="3"/>
    <m/>
    <s v="https://app.getguru.com/card/Ta8EeRyc/Politica-de-Buddies-L12"/>
    <m/>
    <s v="Revisión semestral del plan y actualización trimestral de la lista de buddys."/>
    <s v="Revisar plan de cobertura;Actualizar lista de buddys"/>
    <s v="L12-01"/>
    <s v="Presionar Ctrl+Shift+E"/>
    <x v="0"/>
    <m/>
  </r>
  <r>
    <s v="T20250708-63"/>
    <s v="L"/>
    <s v="L12"/>
    <s v="Gestionar trabajo de ausentes. Apoyarse en Plan de Contingencias"/>
    <d v="2025-07-08T00:00:00"/>
    <s v="Vencida"/>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4"/>
    <s v="L"/>
    <s v="L12"/>
    <s v="Gestionar trabajo de ausentes. Apoyarse en Plan de Contingencias"/>
    <d v="2025-07-08T00:00:00"/>
    <s v="Vencida"/>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5"/>
    <s v="L"/>
    <s v="L12"/>
    <s v="Gestionar trabajo de ausentes. Apoyarse en Plan de Contingencias"/>
    <d v="2025-07-08T00:00:00"/>
    <s v="Vencida"/>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6"/>
    <s v="L"/>
    <s v="L12"/>
    <s v="Actualizar en Gema Admin/SPARK los buddies de BL/KAD de acuerdo con el plan"/>
    <d v="2025-07-08T00:00:00"/>
    <s v="Pendiente"/>
    <x v="3"/>
    <m/>
    <s v="https://gemaadmin.dhl.com/"/>
    <m/>
    <m/>
    <m/>
    <s v="L12-03"/>
    <s v="Presionar Ctrl+Shift+E"/>
    <x v="0"/>
    <m/>
  </r>
  <r>
    <s v="T20250708-67"/>
    <s v="L"/>
    <s v="L13"/>
    <s v="Revisar Plan de Contingencia y de Continuidad del Negocio (BCP)"/>
    <d v="2025-07-08T00:00:00"/>
    <s v="Completada"/>
    <x v="0"/>
    <d v="2025-07-08T00:00:00"/>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n v="0"/>
  </r>
  <r>
    <s v="T20250708-68"/>
    <s v="L"/>
    <s v="L13"/>
    <s v="Revisar Plan de Contingencia y de Continuidad del Negocio (BCP)"/>
    <d v="2025-07-08T00:00:00"/>
    <s v="Pendiente"/>
    <x v="2"/>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69"/>
    <s v="L"/>
    <s v="L13"/>
    <s v="Revisar Plan de Contingencia y de Continuidad del Negocio (BCP)"/>
    <d v="2025-07-08T00:00:00"/>
    <s v="Pendiente"/>
    <x v="3"/>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0"/>
    <s v="L"/>
    <s v="L13"/>
    <s v="Revisar Plan de Contingencia y de Continuidad del Negocio (BCP)"/>
    <d v="2025-07-08T00:00:00"/>
    <s v="Pendiente"/>
    <x v="1"/>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1"/>
    <s v="L"/>
    <s v="L13"/>
    <s v="Realizar simulacro del Plan de Contingencia y revisar que las copias físicas estén en su lugar"/>
    <d v="2025-07-08T00:00:00"/>
    <s v="Completada"/>
    <x v="0"/>
    <d v="2025-07-08T00:00:00"/>
    <m/>
    <m/>
    <s v="Pruebas semestrales de diferentes escenarios del BCP."/>
    <s v="Planificar simulacro;Ejecutar simulacro;Documentar lecciones"/>
    <s v="L13-02"/>
    <s v="Presionar Ctrl+Shift+E"/>
    <x v="0"/>
    <n v="0"/>
  </r>
  <r>
    <s v="T20250708-72"/>
    <s v="L"/>
    <s v="L13"/>
    <s v="Verificar accesibilidad del Plan de Contingencia"/>
    <d v="2025-07-08T00:00:00"/>
    <s v="Completada"/>
    <x v="0"/>
    <d v="2025-07-08T00:00:00"/>
    <s v="https://app.getguru.com/card/irAaaEoT/Plan-de-contingencia-PA"/>
    <m/>
    <s v="Verificación semestral de que el plan está accesible en todos los canales designados."/>
    <s v="Verificar en SharePoint;Verificar copias físicas"/>
    <s v="L13-03"/>
    <s v="Presionar Ctrl+Shift+E"/>
    <x v="0"/>
    <n v="0"/>
  </r>
  <r>
    <s v="T20250708-73"/>
    <s v="L"/>
    <s v="L14"/>
    <s v="Realizar auto-auditoría del proceso KAD. Se recomienda hacer controles cruzados entre distintos KAD"/>
    <d v="2025-07-08T00:00:00"/>
    <s v="Pendiente"/>
    <x v="3"/>
    <m/>
    <s v="https://app.getguru.com/folders/TB78K8pc/L14-Cartera-KAD"/>
    <m/>
    <s v="Verificación trimestral del cumplimiento del proceso KAD (formularios, aprobaciones, etc.)."/>
    <s v="Auditar activaciones del trimestre;Auditar desactivaciones del trimestre"/>
    <s v="L14-01"/>
    <s v="Presionar Ctrl+Shift+E"/>
    <x v="0"/>
    <m/>
  </r>
  <r>
    <s v="T20250708-74"/>
    <s v="L"/>
    <s v="L15"/>
    <s v="Revisar y actualizar perfiles de clientes KAD en el Master File. Se recomienda hacer controles cruzados entre distintos KAD"/>
    <d v="2025-07-08T00:00:00"/>
    <s v="Pendiente"/>
    <x v="3"/>
    <m/>
    <s v="https://app.getguru.com/card/TeApyBqc/-LIST-MASTER-FILE-L15"/>
    <m/>
    <s v="Revisión y actualización semestral de los perfiles de CADA cliente KAD."/>
    <s v="Revisar perfiles de clientes asignados;Actualizar información de contacto y SLAs"/>
    <s v="L15-01"/>
    <s v="Presionar Ctrl+Shift+E"/>
    <x v="0"/>
    <m/>
  </r>
  <r>
    <s v="T20250708-75"/>
    <s v="L"/>
    <s v="L16"/>
    <s v="Revisar CR, Eficiencia operativa, Costos de manera mensual"/>
    <d v="2025-07-08T00:00:00"/>
    <s v="Completada"/>
    <x v="0"/>
    <d v="2025-07-08T00:00:00"/>
    <s v="https://dpdhl.sharepoint.com/:f:/r/teams/CSManagement962/Shared%20Documents/General/Directorio%20COE/L4%20Capacity%20FL/2025/Contact%20Rate?csf=1&amp;web=1&amp;e=K5Ywpx"/>
    <m/>
    <m/>
    <m/>
    <s v="L16-02"/>
    <s v="Presionar Ctrl+Shift+E"/>
    <x v="0"/>
    <n v="0"/>
  </r>
  <r>
    <s v="T20250708-76"/>
    <s v="L"/>
    <s v="L17"/>
    <s v="Realizar conciliación mensual de headcount"/>
    <d v="2025-07-08T00:00:00"/>
    <s v="Completada"/>
    <x v="0"/>
    <d v="2025-07-08T00:00:00"/>
    <s v="https://dpdhl.sharepoint.com/:f:/r/teams/CSManagement962/Shared%20Documents/General/Directorio%20COE/L17%20-%20HC%20%26%20Ftes/2025?csf=1&amp;web=1&amp;e=M5SKnQ"/>
    <m/>
    <s v="Conciliación formal del headcount de CS contra reportes de HR y Finanzas."/>
    <s v="Obtener reportes HR/Finanzas;Realizar y documentar conciliación;Investigar discrepancias"/>
    <s v="L17-01"/>
    <s v="Presionar Ctrl+Shift+E"/>
    <x v="0"/>
    <n v="0"/>
  </r>
  <r>
    <s v="T20250708-77"/>
    <s v="L"/>
    <s v="L18"/>
    <s v="Revisar y comunicar objetivos de generación de ingresos"/>
    <d v="2025-07-08T00:00:00"/>
    <s v="Completada"/>
    <x v="0"/>
    <d v="2025-07-08T00:00:00"/>
    <s v="https://app.getguru.com/card/TyrbBrGc/Target-mensual-Upselling-y-Lead"/>
    <m/>
    <s v="Refuerzo mensual sobre objetivos de ventas, upselling y leads."/>
    <s v="Comunicar objetivos a equipos"/>
    <s v="L18-01"/>
    <s v="Presionar Ctrl+Shift+E"/>
    <x v="0"/>
    <n v="0"/>
  </r>
  <r>
    <s v="T20250708-78"/>
    <s v="L"/>
    <s v="L18"/>
    <s v="Capacitar al equipo de FL para que sepa leer los notice boards y sus KPIs de Upselling y leads y productos que ofrecen"/>
    <d v="2025-07-08T00:00:00"/>
    <s v="Pendiente"/>
    <x v="2"/>
    <m/>
    <s v="https://app.getguru.com/card/TyrbBrGc/Target-mensual-Upselling-y-Lead"/>
    <m/>
    <m/>
    <m/>
    <s v="L18-02"/>
    <s v="Presionar Ctrl+Shift+E"/>
    <x v="0"/>
    <m/>
  </r>
  <r>
    <s v="T20250708-79"/>
    <s v="L"/>
    <s v="L19"/>
    <s v="Monitorear y reportar sobre campañas de venta activas"/>
    <d v="2025-07-08T00:00:00"/>
    <s v="Pendiente"/>
    <x v="1"/>
    <m/>
    <s v="https://app.getguru.com/folders/TXzyzzEc/L19-Campaas"/>
    <m/>
    <s v="Seguimiento mensual del desempeño de las campañas de venta en curso."/>
    <s v="Generar reporte de campaña;Comunicar resultados"/>
    <s v="L19-01"/>
    <s v="Presionar Ctrl+Shift+E"/>
    <x v="0"/>
    <m/>
  </r>
  <r>
    <s v="T20250708-80"/>
    <s v="L"/>
    <s v="L20"/>
    <s v="Realizar seguimiento de plan para transformar las cotizaciones en Bookings efectivos"/>
    <d v="2025-07-08T00:00:00"/>
    <s v="Completada"/>
    <x v="0"/>
    <d v="2025-07-08T00:00:00"/>
    <s v="https://app.getguru.com/card/caAoKegi/Procedimiento-Hunter"/>
    <m/>
    <s v="Análisis mensual de la tasa de conversión y causas de no conversión."/>
    <s v="Generar reporte de conversión;Analizar causas raíz;Definir acciones de mejora"/>
    <s v="L20-01"/>
    <s v="Presionar Ctrl+Shift+E"/>
    <x v="0"/>
    <n v="0"/>
  </r>
  <r>
    <s v="T20250708-81"/>
    <s v="L"/>
    <s v="L20"/>
    <s v="Realizar seguimiento de plan para transformar las cotizaciones en Bookings efectivos"/>
    <d v="2025-07-08T00:00:00"/>
    <s v="Pendiente"/>
    <x v="2"/>
    <m/>
    <s v="https://app.getguru.com/card/caAoKegi/Procedimiento-Hunter"/>
    <m/>
    <s v="Análisis mensual de la tasa de conversión y causas de no conversión."/>
    <s v="Generar reporte de conversión;Analizar causas raíz;Definir acciones de mejora"/>
    <s v="L20-01"/>
    <s v="Presionar Ctrl+Shift+E"/>
    <x v="0"/>
    <m/>
  </r>
  <r>
    <s v="T20250708-82"/>
    <s v="L"/>
    <s v="L20"/>
    <s v="Realizar seguimiento de plan para transformar las cotizaciones en Bookings efectivos"/>
    <d v="2025-07-08T00:00:00"/>
    <s v="Pendiente"/>
    <x v="1"/>
    <m/>
    <s v="https://app.getguru.com/card/caAoKegi/Procedimiento-Hunter"/>
    <m/>
    <s v="Análisis mensual de la tasa de conversión y causas de no conversión."/>
    <s v="Generar reporte de conversión;Analizar causas raíz;Definir acciones de mejora"/>
    <s v="L20-01"/>
    <s v="Presionar Ctrl+Shift+E"/>
    <x v="0"/>
    <m/>
  </r>
  <r>
    <s v="T20250708-83"/>
    <s v="L"/>
    <s v="L21"/>
    <s v="Monitorear y coachear sobre oferta de Servicios Opcionales"/>
    <d v="2025-07-08T00:00:00"/>
    <s v="Pendiente"/>
    <x v="2"/>
    <m/>
    <s v="https://app.getguru.com/folders/cjRrgdBi/Servicios-Opcionales-de-Ventas"/>
    <m/>
    <s v="Monitoreo semanal (calidad) para asegurar que el personal ofrece OSS y proveer coaching."/>
    <s v="Escuchar llamadas/revisar chats;Dar feedback sobre oferta de OSS"/>
    <s v="L21-01"/>
    <s v="Presionar Ctrl+Shift+E"/>
    <x v="0"/>
    <m/>
  </r>
  <r>
    <s v="T20250708-84"/>
    <s v="L"/>
    <s v="L22"/>
    <s v="Realizar revisión trimestral del SLA CS-Comercial (plan de Leads/otros)"/>
    <d v="2025-07-08T00:00:00"/>
    <s v="Completada"/>
    <x v="0"/>
    <d v="2025-07-08T00:00:00"/>
    <s v="https://app.getguru.com/card/TLx8MaEc/SLA-COMERCIAL-CS-SALES-LEADS-"/>
    <m/>
    <s v="Reunión formal trimestral para revisar progreso del Plan/SLA con Comercial. Basado en plan de generación de Leads"/>
    <s v="Preparar reporte de progreso;Liderar reunión con Comercial;Documentar minuta y acciones"/>
    <s v="L22-01"/>
    <s v="Presionar Ctrl+Shift+E"/>
    <x v="0"/>
    <n v="0"/>
  </r>
  <r>
    <s v="T20250708-85"/>
    <s v="L"/>
    <s v="L22"/>
    <s v="Hacer seguimiento mensual del plan de generación de revenue"/>
    <d v="2025-07-08T00:00:00"/>
    <s v="Completada"/>
    <x v="0"/>
    <d v="2025-07-08T00:00:00"/>
    <s v="https://dpdhl.sharepoint.com/:f:/r/teams/CSManagement962/Shared%20Documents/General/Directorio%20COE/L22%20-%20Revenue%20generation/2025?csf=1&amp;web=1&amp;e=4JUXeP"/>
    <m/>
    <m/>
    <m/>
    <s v="L22-02"/>
    <s v="Presionar Ctrl+Shift+E"/>
    <x v="0"/>
    <n v="0"/>
  </r>
  <r>
    <s v="T20250708-86"/>
    <s v="M"/>
    <s v="M01"/>
    <s v="M01.1: Gestionar análisis de causa raíz (RCA) de Traces, Claims y Complaints"/>
    <d v="2025-07-08T00:00:00"/>
    <s v="Completada"/>
    <x v="0"/>
    <d v="2025-07-08T00:00:00"/>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n v="0"/>
  </r>
  <r>
    <s v="T20250708-87"/>
    <s v="M"/>
    <s v="M01"/>
    <s v="M01.1: Gestionar análisis de causa raíz (RCA) de Traces, Claims y Complaints"/>
    <d v="2025-07-08T00:00:00"/>
    <s v="Pendiente"/>
    <x v="3"/>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8"/>
    <s v="M"/>
    <s v="M01"/>
    <s v="M01.1: Gestionar análisis de causa raíz (RCA) de Traces, Claims y Complaints"/>
    <d v="2025-07-08T00:00:00"/>
    <s v="Pendiente"/>
    <x v="1"/>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9"/>
    <s v="M"/>
    <s v="M01"/>
    <s v="Armar presentaciones para el SMT en base a análisis del RCA para resolver principales oportunidades de aperturas de casos a nivel local"/>
    <d v="2025-07-08T00:00:00"/>
    <s v="Completada"/>
    <x v="0"/>
    <d v="2025-07-08T00:00:00"/>
    <s v="https://dpdhl.sharepoint.com/:f:/r/teams/CSManagement962/Shared%20Documents/General/Directorio%20COE/M1/2025?csf=1&amp;web=1&amp;e=2h1eFv"/>
    <m/>
    <m/>
    <m/>
    <s v="M01-02"/>
    <s v="Presionar Ctrl+Shift+E"/>
    <x v="0"/>
    <n v="0"/>
  </r>
  <r>
    <s v="T20250708-90"/>
    <s v="M"/>
    <s v="M01"/>
    <s v="Documentar planes de acción, seguimiento y evidencia de ejecución, con responsables, fechas y evolución en el tiempo y acciones correctivas."/>
    <d v="2025-07-08T00:00:00"/>
    <s v="Completada"/>
    <x v="0"/>
    <d v="2025-07-08T00:00:00"/>
    <s v="https://dpdhl.sharepoint.com/:f:/r/teams/CSManagement962/Shared%20Documents/General/Directorio%20COE/M1/2025/Evidencia?csf=1&amp;web=1&amp;e=1p8UFG"/>
    <m/>
    <m/>
    <m/>
    <s v="M01-03"/>
    <s v="Presionar Ctrl+Shift+E"/>
    <x v="0"/>
    <n v="0"/>
  </r>
  <r>
    <s v="T20250708-91"/>
    <s v="M"/>
    <s v="M01"/>
    <s v="Documentar planes de acción, seguimiento y evidencia de ejecución, con responsables, fechas y evolución en el tiempo y acciones correctivas."/>
    <d v="2025-07-08T00:00:00"/>
    <s v="Pendiente"/>
    <x v="3"/>
    <m/>
    <s v="https://dpdhl.sharepoint.com/:f:/r/teams/CSManagement962/Shared%20Documents/General/Directorio%20COE/M1/2025/Evidencia?csf=1&amp;web=1&amp;e=1p8UFG"/>
    <m/>
    <m/>
    <m/>
    <s v="M01-03"/>
    <s v="Presionar Ctrl+Shift+E"/>
    <x v="0"/>
    <m/>
  </r>
  <r>
    <s v="T20250708-92"/>
    <s v="M"/>
    <s v="M01"/>
    <s v="Realizar análisis main offenders y enviarlo a los países que nos impactan en nuestros casos de país, con un plan de acción y seguimiento"/>
    <d v="2025-07-08T00:00:00"/>
    <s v="Completada"/>
    <x v="0"/>
    <d v="2025-07-08T00:00:00"/>
    <s v="https://dpdhl.sharepoint.com/:f:/r/teams/CSManagement962/Shared%20Documents/General/Directorio%20COE/M1/2025/Main%20offenders?csf=1&amp;web=1&amp;e=rkY415"/>
    <m/>
    <m/>
    <m/>
    <s v="M01-04"/>
    <s v="Presionar Ctrl+Shift+E"/>
    <x v="0"/>
    <n v="0"/>
  </r>
  <r>
    <s v="T20250708-93"/>
    <s v="M"/>
    <s v="M01"/>
    <s v="Realizar análisis main offenders y enviarlo a los países que nos impactan en nuestros casos de país, con un plan de acción y seguimiento"/>
    <d v="2025-07-08T00:00:00"/>
    <s v="Pendiente"/>
    <x v="1"/>
    <m/>
    <s v="https://dpdhl.sharepoint.com/:f:/r/teams/CSManagement962/Shared%20Documents/General/Directorio%20COE/M1/2025/Main%20offenders?csf=1&amp;web=1&amp;e=rkY415"/>
    <m/>
    <m/>
    <m/>
    <s v="M01-04"/>
    <s v="Presionar Ctrl+Shift+E"/>
    <x v="0"/>
    <m/>
  </r>
  <r>
    <s v="T20250708-94"/>
    <s v="M"/>
    <s v="M02"/>
    <s v="Armar presentación de la voz del cliente de acuerdo con análisis de VOICE"/>
    <d v="2025-07-08T00:00:00"/>
    <s v="Completada"/>
    <x v="0"/>
    <d v="2025-07-08T00:00:00"/>
    <s v="https://dpdhl.sharepoint.com/:f:/r/teams/CSManagement962/Shared%20Documents/General/Directorio%20COE/M2%20-%20VOICE%20-%20NPS?csf=1&amp;web=1&amp;e=ttdYZq"/>
    <m/>
    <m/>
    <m/>
    <s v="M02-02"/>
    <s v="Presionar Ctrl+Shift+E"/>
    <x v="0"/>
    <n v="0"/>
  </r>
  <r>
    <s v="T20250708-95"/>
    <s v="M"/>
    <s v="M03"/>
    <s v="M03.1: Utilizar reportes estándar (PPMT y otros) para medir KPIs y eficiencia"/>
    <d v="2025-07-08T00:00:00"/>
    <s v="Vencida"/>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8-96"/>
    <s v="M"/>
    <s v="M03"/>
    <s v="Revisar 2nd and 3rd escalation y hacer reporte para control de gestión"/>
    <d v="2025-07-08T00:00:00"/>
    <s v="Pendiente"/>
    <x v="3"/>
    <m/>
    <s v="https://dpdhl.sharepoint.com/:f:/r/teams/CSManagement962/Shared%20Documents/General/Directorio%20COE/M3%20-%20Reportes/2nd%20y%203rd%20escalation?csf=1&amp;web=1&amp;e=fH3eSr"/>
    <m/>
    <m/>
    <m/>
    <s v="M03-02"/>
    <s v="Presionar Ctrl+Shift+E"/>
    <x v="0"/>
    <m/>
  </r>
  <r>
    <s v="T20250708-97"/>
    <s v="M"/>
    <s v="M03"/>
    <s v="Realizar reporte casos por cerrar de BL/KAD diario"/>
    <d v="2025-07-08T00:00:00"/>
    <s v="Vencida"/>
    <x v="1"/>
    <m/>
    <s v="https://dpdhl.sharepoint.com/:f:/r/teams/CSManagement962/Shared%20Documents/General/Directorio%20COE/M3%20-%20Reportes/Casos%20x%20Cerrar?csf=1&amp;web=1&amp;e=pTiEBB"/>
    <m/>
    <m/>
    <m/>
    <s v="M03-04"/>
    <s v="Presionar Ctrl+Shift+E"/>
    <x v="0"/>
    <m/>
  </r>
  <r>
    <s v="T20250708-98"/>
    <s v="M"/>
    <s v="M03"/>
    <s v="Realizar reporte de performance diario para FL/BL y KAD"/>
    <d v="2025-07-08T00:00:00"/>
    <s v="Vencida"/>
    <x v="1"/>
    <m/>
    <s v="https://dpdhl.sharepoint.com/:f:/r/teams/CSManagement962/Shared%20Documents/General/Directorio%20COE/M3%20-%20Reportes/Daily%20Customer%20Service%20Performance%20Report?csf=1&amp;web=1&amp;e=hUsw3t"/>
    <m/>
    <m/>
    <m/>
    <s v="M03-05"/>
    <s v="Presionar Ctrl+Shift+E"/>
    <x v="0"/>
    <m/>
  </r>
  <r>
    <s v="T20250708-99"/>
    <s v="M"/>
    <s v="M03"/>
    <s v="Realizar reporte de análisis de IVR mensual"/>
    <d v="2025-07-08T00:00:00"/>
    <s v="Pendiente"/>
    <x v="1"/>
    <m/>
    <s v="https://dpdhl.sharepoint.com/:f:/r/teams/CSManagement962/Shared%20Documents/General/Directorio%20COE/M3%20-%20Reportes/IVR?csf=1&amp;web=1&amp;e=m8vXcg"/>
    <m/>
    <m/>
    <m/>
    <s v="M03-06"/>
    <s v="Presionar Ctrl+Shift+E"/>
    <x v="0"/>
    <m/>
  </r>
  <r>
    <s v="T20250708-100"/>
    <s v="M"/>
    <s v="M03"/>
    <s v="Realizar reporte de mails diario para agentes de FL/BL y KAD"/>
    <d v="2025-07-08T00:00:00"/>
    <s v="Vencida"/>
    <x v="1"/>
    <m/>
    <s v="https://dpdhl.sharepoint.com/:f:/r/teams/CSManagement962/Shared%20Documents/General/Directorio%20COE/M3%20-%20Reportes/MCT%20PA%20Report?csf=1&amp;web=1&amp;e=ObM0PZ"/>
    <m/>
    <m/>
    <m/>
    <s v="M03-08"/>
    <s v="Presionar Ctrl+Shift+E"/>
    <x v="0"/>
    <m/>
  </r>
  <r>
    <s v="T20250708-101"/>
    <s v="M"/>
    <s v="M03"/>
    <s v="Realizar reporte de Chat diario para agentes de FL/KAD"/>
    <d v="2025-07-08T00:00:00"/>
    <s v="Vencida"/>
    <x v="1"/>
    <m/>
    <s v="https://app.powerbi.com/groups/me/apps/a91e7e0a-1652-440f-8f81-79fa9459f076/reports/e7d5de1f-4e51-45de-a0b6-ee08e97b1b3a/ReportSection?ctid=cd99fef8-1cd3-4a2a-9bdf-15531181d65e&amp;experience=power-bi"/>
    <m/>
    <m/>
    <m/>
    <s v="M03-09"/>
    <s v="Presionar Ctrl+Shift+E"/>
    <x v="0"/>
    <m/>
  </r>
  <r>
    <s v="T20250708-102"/>
    <s v="M"/>
    <s v="M03"/>
    <s v="Realizar reporte de Aging diario para agentes de BL/KAD y supervisores analizan casos de mayor aging con agentes"/>
    <d v="2025-07-08T00:00:00"/>
    <s v="Vencida"/>
    <x v="3"/>
    <m/>
    <s v="https://app.powerbi.com/groups/me/apps/a91e7e0a-1652-440f-8f81-79fa9459f076/reports/3cbaff75-757e-4736-86c5-6a5a6ad7fe62/ReportSection?ctid=cd99fef8-1cd3-4a2a-9bdf-15531181d65e&amp;experience=power-bi"/>
    <m/>
    <m/>
    <m/>
    <s v="M03-10"/>
    <s v="Presionar Ctrl+Shift+E"/>
    <x v="0"/>
    <m/>
  </r>
  <r>
    <s v="T20250708-103"/>
    <s v="M"/>
    <s v="M03"/>
    <s v="Realizar reporte de Aging diario para agentes de BL/KAD y supervisores analizan casos de mayor aging con agentes"/>
    <d v="2025-07-08T00:00:00"/>
    <s v="Vencida"/>
    <x v="1"/>
    <m/>
    <s v="https://app.powerbi.com/groups/me/apps/a91e7e0a-1652-440f-8f81-79fa9459f076/reports/3cbaff75-757e-4736-86c5-6a5a6ad7fe62/ReportSection?ctid=cd99fef8-1cd3-4a2a-9bdf-15531181d65e&amp;experience=power-bi"/>
    <m/>
    <m/>
    <m/>
    <s v="M03-10"/>
    <s v="Presionar Ctrl+Shift+E"/>
    <x v="0"/>
    <m/>
  </r>
  <r>
    <s v="T20250708-104"/>
    <s v="M"/>
    <s v="M03"/>
    <s v="Realizar reporte de uso PPMT para todos mensualmente"/>
    <d v="2025-07-08T00:00:00"/>
    <s v="Pendiente"/>
    <x v="1"/>
    <m/>
    <s v="https://dpdhl.sharepoint.com/:f:/r/teams/CSManagement962/Shared%20Documents/General/Directorio%20COE/M3%20-%20Reportes/PPMT?csf=1&amp;web=1&amp;e=BO2pEW"/>
    <m/>
    <m/>
    <m/>
    <s v="M03-11"/>
    <s v="Presionar Ctrl+Shift+E"/>
    <x v="0"/>
    <m/>
  </r>
  <r>
    <s v="T20250708-105"/>
    <s v="M"/>
    <s v="M03"/>
    <s v="Realizar reporte de Scorecard mensual desde PPMT"/>
    <d v="2025-07-08T00:00:00"/>
    <s v="Pendiente"/>
    <x v="1"/>
    <m/>
    <s v="https://dpdhl.sharepoint.com/:x:/r/teams/CSManagement962/Shared%20Documents/General/Directorio%20COE/P1%20-%20Incentivos%20CS/2025/scorecard-summary-export%202025.xlsx?d=w6e19525b55f6457d918d69c357d79c10&amp;csf=1&amp;web=1&amp;e=bwsk1M"/>
    <m/>
    <m/>
    <m/>
    <s v="M03-13"/>
    <s v="Presionar Ctrl+Shift+E"/>
    <x v="0"/>
    <m/>
  </r>
  <r>
    <s v="T20250708-106"/>
    <s v="M"/>
    <s v="M04"/>
    <s v="M04.1: Asegurar que los datos recolectados sean relevantes, precisos, utilizados de forma correcta y comprendidos"/>
    <d v="2025-07-08T00:00:00"/>
    <s v="Pendiente"/>
    <x v="1"/>
    <m/>
    <s v="https://dpdhl.sharepoint.com/:f:/r/teams/CSManagement962/Shared%20Documents/General/Directorio%20COE/M4%20-%20Consistencia%20datos?csf=1&amp;web=1&amp;e=S6x70T"/>
    <m/>
    <s v="CSD realiza una auditoría trimestral de los procesos de recolección de datos para asegurar su integridad y relevancia."/>
    <s v="Mapear fuentes de datos;Validar precisión de una muestra de datos"/>
    <s v="M04-01"/>
    <s v="Presionar Ctrl+Shift+E"/>
    <x v="0"/>
    <m/>
  </r>
  <r>
    <s v="T20250708-107"/>
    <s v="M"/>
    <s v="M05"/>
    <s v="M05.1: Revisar diariamente resultados de desempeño e implementar acciones correctivas y documentar evidencia de seguimiento"/>
    <d v="2025-07-08T00:00:00"/>
    <s v="Vencida"/>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8"/>
    <s v="M"/>
    <s v="M05"/>
    <s v="M05.1: Revisar diariamente resultados de desempeño e implementar acciones correctivas y documentar evidencia de seguimiento"/>
    <d v="2025-07-08T00:00:00"/>
    <s v="Vencida"/>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9"/>
    <s v="M"/>
    <s v="M06"/>
    <s v="M06.1: Rastrear, analizar y generar tendencias de resultados de QM"/>
    <d v="2025-07-08T00:00:00"/>
    <s v="Pendiente"/>
    <x v="1"/>
    <m/>
    <s v="https://dpdhl.sharepoint.com/:f:/r/teams/CSManagement962/Shared%20Documents/General/Directorio%20COE/M6%20-%20seguimiento%20monitoreos/2025?csf=1&amp;web=1&amp;e=tJyoXG"/>
    <m/>
    <s v="CSD genera y analiza mensualmente los reportes de tendencias de Calidad para identificar fortalezas y debilidades a nivel departamental."/>
    <s v="Generar reporte de tendencias de QM;Analizar resultados;Presentar a Gerencia"/>
    <s v="M06-01"/>
    <s v="Presionar Ctrl+Shift+E"/>
    <x v="0"/>
    <m/>
  </r>
  <r>
    <s v="T20250708-110"/>
    <s v="M"/>
    <s v="M06"/>
    <s v="Determinar capacitaciones, feedback o coaching, charlas en PDs o reuniones de equipo derivadas de oportunidades en los monitoreos de calidad"/>
    <d v="2025-07-08T00:00:00"/>
    <s v="Completada"/>
    <x v="0"/>
    <d v="2025-07-08T00:00:00"/>
    <s v="https://app.getguru.com/folders/c9b4xoqi/M6-anlisis-monitoreos"/>
    <m/>
    <m/>
    <m/>
    <s v="M06-02"/>
    <s v="Presionar Ctrl+Shift+E"/>
    <x v="0"/>
    <n v="0"/>
  </r>
  <r>
    <s v="T20250708-111"/>
    <s v="M"/>
    <s v="M06"/>
    <s v="Determinar capacitaciones, feedback o coaching, charlas en PDs o reuniones de equipo derivadas de oportunidades en los monitoreos de calidad"/>
    <d v="2025-07-08T00:00:00"/>
    <s v="Pendiente"/>
    <x v="2"/>
    <m/>
    <s v="https://app.getguru.com/folders/c9b4xoqi/M6-anlisis-monitoreos"/>
    <m/>
    <m/>
    <m/>
    <s v="M06-02"/>
    <s v="Presionar Ctrl+Shift+E"/>
    <x v="0"/>
    <m/>
  </r>
  <r>
    <s v="T20250708-112"/>
    <s v="M"/>
    <s v="M06"/>
    <s v="Determinar capacitaciones, feedback o coaching, charlas en PDs o reuniones de equipo derivadas de oportunidades en los monitoreos de calidad"/>
    <d v="2025-07-08T00:00:00"/>
    <s v="Pendiente"/>
    <x v="3"/>
    <m/>
    <s v="https://app.getguru.com/folders/c9b4xoqi/M6-anlisis-monitoreos"/>
    <m/>
    <m/>
    <m/>
    <s v="M06-02"/>
    <s v="Presionar Ctrl+Shift+E"/>
    <x v="0"/>
    <m/>
  </r>
  <r>
    <s v="T20250708-113"/>
    <s v="M"/>
    <s v="M06"/>
    <s v="Documentar evidencia de entrenamientos derivadas de oportunidades en los monitoreos de calidad"/>
    <d v="2025-07-08T00:00:00"/>
    <s v="Pendiente"/>
    <x v="2"/>
    <m/>
    <s v="https://dpdhl.sharepoint.com/:f:/r/teams/CSManagement962/Shared%20Documents/General/Directorio%20COE/P4%20-%20Roadmap/2025/Evidencia?csf=1&amp;web=1&amp;e=yBEhTo"/>
    <m/>
    <m/>
    <m/>
    <s v="M06-03"/>
    <s v="Presionar Ctrl+Shift+E"/>
    <x v="0"/>
    <m/>
  </r>
  <r>
    <s v="T20250708-114"/>
    <s v="M"/>
    <s v="M06"/>
    <s v="Documentar evidencia de entrenamientos derivadas de oportunidades en los monitoreos de calidad"/>
    <d v="2025-07-08T00:00:00"/>
    <s v="Pendiente"/>
    <x v="3"/>
    <m/>
    <s v="https://dpdhl.sharepoint.com/:f:/r/teams/CSManagement962/Shared%20Documents/General/Directorio%20COE/P4%20-%20Roadmap/2025/Evidencia?csf=1&amp;web=1&amp;e=yBEhTo"/>
    <m/>
    <m/>
    <m/>
    <s v="M06-03"/>
    <s v="Presionar Ctrl+Shift+E"/>
    <x v="0"/>
    <m/>
  </r>
  <r>
    <s v="T20250708-115"/>
    <s v="M"/>
    <s v="M06"/>
    <s v="Documentar evidencia de entrenamientos derivadas de oportunidades en los monitoreos de calidad"/>
    <d v="2025-07-08T00:00:00"/>
    <s v="Pendiente"/>
    <x v="1"/>
    <m/>
    <s v="https://dpdhl.sharepoint.com/:f:/r/teams/CSManagement962/Shared%20Documents/General/Directorio%20COE/P4%20-%20Roadmap/2025/Evidencia?csf=1&amp;web=1&amp;e=yBEhTo"/>
    <m/>
    <m/>
    <m/>
    <s v="M06-03"/>
    <s v="Presionar Ctrl+Shift+E"/>
    <x v="0"/>
    <m/>
  </r>
  <r>
    <s v="T20250708-116"/>
    <s v="M"/>
    <s v="M07"/>
    <s v="M07.1: Analizar resultados Programa de Evaluación de Calidad Independiente (Mystery Shopper)"/>
    <d v="2025-07-08T00:00:00"/>
    <s v="Pendiente"/>
    <x v="1"/>
    <m/>
    <s v="https://dpdhl.sharepoint.com/:f:/r/teams/CSManagement962/Shared%20Documents/General/Directorio%20COE/M7%20-%20Mystery%20Shopper?csf=1&amp;web=1&amp;e=q3WY5n"/>
    <m/>
    <s v="CSD analiza resultados de la ejecución trimestral del programa de Mystery Shopper, ya sea con un proveedor externo o un equipo interno independiente."/>
    <s v="Coordinar ejecución de Mystery Shopper;Recibir y analizar resultados;Compartir con Supervisores"/>
    <s v="M07-01"/>
    <s v="Presionar Ctrl+Shift+E"/>
    <x v="0"/>
    <m/>
  </r>
  <r>
    <s v="T20250708-117"/>
    <s v="M"/>
    <s v="M07"/>
    <s v="Compartir resultados Mystery Shopper"/>
    <d v="2025-07-08T00:00:00"/>
    <s v="Pendiente"/>
    <x v="1"/>
    <m/>
    <s v="https://app.powerbi.com/groups/me/apps/a91e7e0a-1652-440f-8f81-79fa9459f076/reports/d77cde04-8a10-48a7-92d7-d7413fd3b367/00707e2f9dc3cd968894?ctid=cd99fef8-1cd3-4a2a-9bdf-15531181d65e&amp;experience=power-bi"/>
    <m/>
    <m/>
    <m/>
    <s v="M07-02"/>
    <s v="Presionar Ctrl+Shift+E"/>
    <x v="0"/>
    <m/>
  </r>
  <r>
    <s v="T20250708-118"/>
    <s v="M"/>
    <s v="M08"/>
    <s v="M08.1: Evaluar y analizar trimestralmente resultados de IMSP vs Monitoreos propios"/>
    <d v="2025-07-08T00:00:00"/>
    <s v="Pendiente"/>
    <x v="1"/>
    <m/>
    <s v="https://dpdhl.sharepoint.com/:f:/r/teams/CSManagement962/Shared%20Documents/General/Directorio%20COE/M8%20-%20Analisis%20MS-monitoreos?csf=1&amp;web=1&amp;e=6i8MG0"/>
    <m/>
    <s v="CSD o responsable designado analiza los resultados trimestrales del programa de auto-monitoreo del personal (IMSP) si está implementado."/>
    <s v="Recopilar y analizar datos de IMSP;Generar reporte de resultados"/>
    <s v="M08-01"/>
    <s v="Presionar Ctrl+Shift+E"/>
    <x v="0"/>
    <m/>
  </r>
  <r>
    <s v="T20250708-119"/>
    <s v="P"/>
    <s v="P01"/>
    <s v="Documentar y comunicar programa SMART de incentivos y reconocimiento"/>
    <d v="2025-07-08T00:00:00"/>
    <s v="Completada"/>
    <x v="0"/>
    <d v="2025-07-08T00:00:00"/>
    <s v="https://app.getguru.com/folders/ikdoLXeT/P1"/>
    <m/>
    <s v="Revisar y comunicar el programa de reconocimiento, asegurando que los criterios son SMART y conocidos por todos."/>
    <s v="Revisar criterios del programa;Comunicar programa en reunión departamental;Publicar ganadores"/>
    <s v="P01-01"/>
    <s v="Presionar Ctrl+Shift+E"/>
    <x v="0"/>
    <n v="0"/>
  </r>
  <r>
    <s v="T20250708-120"/>
    <s v="P"/>
    <s v="P01"/>
    <s v="Generar y actualizar calculadora para facilitar comprensión del scorecard para los agentes"/>
    <d v="2025-07-08T00:00:00"/>
    <s v="Pendiente"/>
    <x v="1"/>
    <m/>
    <s v="https://dpdhl.sharepoint.com/:f:/r/teams/CSManagement962/Shared%20Documents/General/Directorio%20COE/P1%20-%20Incentivos%20CS/2025/Calculo%20comisiones?csf=1&amp;web=1&amp;e=Q9HYWo"/>
    <m/>
    <m/>
    <m/>
    <s v="P01-02"/>
    <s v="Presionar Ctrl+Shift+E"/>
    <x v="0"/>
    <m/>
  </r>
  <r>
    <s v="T20250708-121"/>
    <s v="P"/>
    <s v="P01"/>
    <s v="Hacer cálculos de incentivos mensuales y comunicarlos a los agentes"/>
    <d v="2025-07-08T00:00:00"/>
    <s v="Completada"/>
    <x v="0"/>
    <d v="2025-07-08T00:00:00"/>
    <s v="https://dpdhl.sharepoint.com/:f:/r/teams/CSManagement962/Shared%20Documents/General/Directorio%20COE/P1%20-%20Incentivos%20CS/2025?csf=1&amp;web=1&amp;e=jBZOOK"/>
    <m/>
    <m/>
    <m/>
    <s v="P01-03"/>
    <s v="Presionar Ctrl+Shift+E"/>
    <x v="0"/>
    <n v="0"/>
  </r>
  <r>
    <s v="T20250708-122"/>
    <s v="P"/>
    <s v="P01"/>
    <s v="Hacer cálculos de incentivos mensuales y comunicarlos a los agentes"/>
    <d v="2025-07-08T00:00:00"/>
    <s v="Pendiente"/>
    <x v="2"/>
    <m/>
    <s v="https://dpdhl.sharepoint.com/:f:/r/teams/CSManagement962/Shared%20Documents/General/Directorio%20COE/P1%20-%20Incentivos%20CS/2025?csf=1&amp;web=1&amp;e=jBZOOK"/>
    <m/>
    <m/>
    <m/>
    <s v="P01-03"/>
    <s v="Presionar Ctrl+Shift+E"/>
    <x v="0"/>
    <m/>
  </r>
  <r>
    <s v="T20250708-123"/>
    <s v="P"/>
    <s v="P01"/>
    <s v="Hacer cálculos de incentivos mensuales y comunicarlos a los agentes"/>
    <d v="2025-07-08T00:00:00"/>
    <s v="Pendiente"/>
    <x v="3"/>
    <m/>
    <s v="https://dpdhl.sharepoint.com/:f:/r/teams/CSManagement962/Shared%20Documents/General/Directorio%20COE/P1%20-%20Incentivos%20CS/2025?csf=1&amp;web=1&amp;e=jBZOOK"/>
    <m/>
    <m/>
    <m/>
    <s v="P01-03"/>
    <s v="Presionar Ctrl+Shift+E"/>
    <x v="0"/>
    <m/>
  </r>
  <r>
    <s v="T20250708-124"/>
    <s v="P"/>
    <s v="P01"/>
    <s v="Hacer cálculos de incentivos mensuales y comunicarlos a los agentes"/>
    <d v="2025-07-08T00:00:00"/>
    <s v="Pendiente"/>
    <x v="1"/>
    <m/>
    <s v="https://dpdhl.sharepoint.com/:f:/r/teams/CSManagement962/Shared%20Documents/General/Directorio%20COE/P1%20-%20Incentivos%20CS/2025?csf=1&amp;web=1&amp;e=jBZOOK"/>
    <m/>
    <m/>
    <m/>
    <s v="P01-03"/>
    <s v="Presionar Ctrl+Shift+E"/>
    <x v="0"/>
    <m/>
  </r>
  <r>
    <s v="T20250708-125"/>
    <s v="P"/>
    <s v="P02"/>
    <s v="Implementar sistema de reconocimiento para top performers"/>
    <d v="2025-07-08T00:00:00"/>
    <s v="Completada"/>
    <x v="0"/>
    <d v="2025-07-08T00:00:00"/>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n v="0"/>
  </r>
  <r>
    <s v="T20250708-126"/>
    <s v="P"/>
    <s v="P02"/>
    <s v="Implementar sistema de reconocimiento para top performers"/>
    <d v="2025-07-08T00:00:00"/>
    <s v="Pendiente"/>
    <x v="2"/>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7"/>
    <s v="P"/>
    <s v="P02"/>
    <s v="Implementar sistema de reconocimiento para top performers"/>
    <d v="2025-07-08T00:00:00"/>
    <s v="Pendiente"/>
    <x v="3"/>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8"/>
    <s v="P"/>
    <s v="P02"/>
    <s v="Implementar sistema de reconocimiento para top performers"/>
    <d v="2025-07-08T00:00:00"/>
    <s v="Pendiente"/>
    <x v="1"/>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9"/>
    <s v="P"/>
    <s v="P04"/>
    <s v="Establecer y mantener roadmap de capacitación estructurado"/>
    <d v="2025-07-08T00:00:00"/>
    <s v="Completada"/>
    <x v="0"/>
    <d v="2025-07-08T00:00:00"/>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n v="0"/>
  </r>
  <r>
    <s v="T20250708-130"/>
    <s v="P"/>
    <s v="P04"/>
    <s v="Establecer y mantener roadmap de capacitación estructurado"/>
    <d v="2025-07-08T00:00:00"/>
    <s v="Pendiente"/>
    <x v="1"/>
    <m/>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m/>
  </r>
  <r>
    <s v="T20250708-131"/>
    <s v="P"/>
    <s v="P04"/>
    <s v="Dar visibilidad a agentes del plan de entrenamiento (Roadmap) y asegurar su comprensión"/>
    <d v="2025-07-08T00:00:00"/>
    <s v="Pendiente"/>
    <x v="2"/>
    <m/>
    <s v="https://app.getguru.com/card/TpRMeXKc/P4-Roadmap"/>
    <m/>
    <m/>
    <m/>
    <s v="P04-02"/>
    <s v="Presionar Ctrl+Shift+E"/>
    <x v="0"/>
    <m/>
  </r>
  <r>
    <s v="T20250708-132"/>
    <s v="P"/>
    <s v="P04"/>
    <s v="Dar visibilidad a agentes del plan de entrenamiento (Roadmap) y asegurar su comprensión"/>
    <d v="2025-07-08T00:00:00"/>
    <s v="Pendiente"/>
    <x v="3"/>
    <m/>
    <s v="https://app.getguru.com/card/TpRMeXKc/P4-Roadmap"/>
    <m/>
    <m/>
    <m/>
    <s v="P04-02"/>
    <s v="Presionar Ctrl+Shift+E"/>
    <x v="0"/>
    <m/>
  </r>
  <r>
    <s v="T20250708-133"/>
    <s v="P"/>
    <s v="P04"/>
    <s v="Generar cursos de acuerdo con IDPs de agentes"/>
    <d v="2025-07-08T00:00:00"/>
    <s v="Pendiente"/>
    <x v="2"/>
    <m/>
    <m/>
    <m/>
    <m/>
    <m/>
    <s v="P04-03"/>
    <s v="Presionar Ctrl+Shift+E"/>
    <x v="0"/>
    <m/>
  </r>
  <r>
    <s v="T20250708-134"/>
    <s v="P"/>
    <s v="P04"/>
    <s v="Generar cursos de acuerdo con IDPs de agentes"/>
    <d v="2025-07-08T00:00:00"/>
    <s v="Pendiente"/>
    <x v="3"/>
    <m/>
    <m/>
    <m/>
    <m/>
    <m/>
    <s v="P04-03"/>
    <s v="Presionar Ctrl+Shift+E"/>
    <x v="0"/>
    <m/>
  </r>
  <r>
    <s v="T20250708-135"/>
    <s v="P"/>
    <s v="P04"/>
    <s v="Generar cursos de acuerdo con resultado de los Quiz, cuando se detectan oportunidades"/>
    <d v="2025-07-08T00:00:00"/>
    <s v="Pendiente"/>
    <x v="1"/>
    <m/>
    <m/>
    <m/>
    <m/>
    <m/>
    <s v="P04-04"/>
    <s v="Presionar Ctrl+Shift+E"/>
    <x v="0"/>
    <m/>
  </r>
  <r>
    <s v="T20250708-136"/>
    <s v="P"/>
    <s v="P04"/>
    <s v="Generación de cursos de acuerdo con Oportunidades observadas en los coachings"/>
    <d v="2025-07-08T00:00:00"/>
    <s v="Pendiente"/>
    <x v="2"/>
    <m/>
    <m/>
    <m/>
    <m/>
    <m/>
    <s v="P04-05"/>
    <s v="Presionar Ctrl+Shift+E"/>
    <x v="0"/>
    <m/>
  </r>
  <r>
    <s v="T20250708-137"/>
    <s v="P"/>
    <s v="P04"/>
    <s v="Generación de cursos de acuerdo con Oportunidades observadas en los coachings"/>
    <d v="2025-07-08T00:00:00"/>
    <s v="Pendiente"/>
    <x v="3"/>
    <m/>
    <m/>
    <m/>
    <m/>
    <m/>
    <s v="P04-05"/>
    <s v="Presionar Ctrl+Shift+E"/>
    <x v="0"/>
    <m/>
  </r>
  <r>
    <s v="T20250708-138"/>
    <s v="P"/>
    <s v="P04"/>
    <s v="Generación de cursos de acuerdo con Oportunidades observadas en los reportes"/>
    <d v="2025-07-08T00:00:00"/>
    <s v="Pendiente"/>
    <x v="2"/>
    <m/>
    <s v="https://app.getguru.com/card/TER9nezc/M5-FEEDBACKS-"/>
    <m/>
    <m/>
    <m/>
    <s v="P04-06"/>
    <s v="Presionar Ctrl+Shift+E"/>
    <x v="0"/>
    <m/>
  </r>
  <r>
    <s v="T20250708-139"/>
    <s v="P"/>
    <s v="P04"/>
    <s v="Generación de cursos de acuerdo con Oportunidades observadas en los reportes"/>
    <d v="2025-07-08T00:00:00"/>
    <s v="Pendiente"/>
    <x v="3"/>
    <m/>
    <s v="https://app.getguru.com/card/TER9nezc/M5-FEEDBACKS-"/>
    <m/>
    <m/>
    <m/>
    <s v="P04-06"/>
    <s v="Presionar Ctrl+Shift+E"/>
    <x v="0"/>
    <m/>
  </r>
  <r>
    <s v="T20250708-140"/>
    <s v="P"/>
    <s v="P04"/>
    <s v="Generación de cursos de acuerdo con Oportunidades observadas en los monitoreos de calidad"/>
    <d v="2025-07-08T00:00:00"/>
    <s v="Pendiente"/>
    <x v="2"/>
    <m/>
    <s v="https://app.getguru.com/folders/c9b4xoqi/M6-anlisis-monitoreos"/>
    <m/>
    <m/>
    <m/>
    <s v="P04-07"/>
    <s v="Presionar Ctrl+Shift+E"/>
    <x v="0"/>
    <m/>
  </r>
  <r>
    <s v="T20250708-141"/>
    <s v="P"/>
    <s v="P04"/>
    <s v="Generación de cursos de acuerdo con Oportunidades observadas en los monitoreos de calidad"/>
    <d v="2025-07-08T00:00:00"/>
    <s v="Pendiente"/>
    <x v="3"/>
    <m/>
    <s v="https://app.getguru.com/folders/c9b4xoqi/M6-anlisis-monitoreos"/>
    <m/>
    <m/>
    <m/>
    <s v="P04-07"/>
    <s v="Presionar Ctrl+Shift+E"/>
    <x v="0"/>
    <m/>
  </r>
  <r>
    <s v="T20250708-142"/>
    <s v="P"/>
    <s v="P05"/>
    <s v="Realizar ejercicios de verificación de habilidades y conocimiento (Quiz) y planes de acción de acuerdo con resultados"/>
    <d v="2025-07-08T00:00:00"/>
    <s v="Pendiente"/>
    <x v="1"/>
    <m/>
    <s v="https://dpdhl.sharepoint.com/:f:/r/teams/CSManagement962/Shared%20Documents/General/Directorio%20COE/P5%20Quiz?csf=1&amp;web=1&amp;e=U3iIF5"/>
    <m/>
    <s v="CSD realizan ejercicios prácticos o teóricos mensuales para validar que el conocimiento se mantiene fresco."/>
    <s v="Ejecutar ejercicio de conocimiento FL;Ejecutar ejercicio de conocimiento BL/KAD"/>
    <s v="P05-01"/>
    <s v="Presionar Ctrl+Shift+E"/>
    <x v="0"/>
    <m/>
  </r>
  <r>
    <s v="T20250708-143"/>
    <s v="P"/>
    <s v="P05"/>
    <s v="Realizar correciones de los Quiz y comunicación de resultados al equipo, definiendo nota de aprobación"/>
    <d v="2025-07-08T00:00:00"/>
    <s v="Pendiente"/>
    <x v="1"/>
    <m/>
    <s v="https://app.getguru.com/card/TARdK9Mc/Skill-Verification-Quiz"/>
    <m/>
    <m/>
    <m/>
    <s v="P05-02"/>
    <s v="Presionar Ctrl+Shift+E"/>
    <x v="0"/>
    <m/>
  </r>
  <r>
    <s v="T20250708-144"/>
    <s v="P"/>
    <s v="P07"/>
    <s v="Establecer programa de coaching formalizado para agentes de CS y ejecutarlo mensualmente"/>
    <d v="2025-07-08T00:00:00"/>
    <s v="Completada"/>
    <x v="0"/>
    <d v="2025-07-08T00:00:00"/>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n v="0"/>
  </r>
  <r>
    <s v="T20250708-145"/>
    <s v="P"/>
    <s v="P07"/>
    <s v="Establecer programa de coaching formalizado para agentes de CS y ejecutarlo mensualmente"/>
    <d v="2025-07-08T00:00:00"/>
    <s v="Pendiente"/>
    <x v="2"/>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6"/>
    <s v="P"/>
    <s v="P07"/>
    <s v="Establecer programa de coaching formalizado para agentes de CS y ejecutarlo mensualmente"/>
    <d v="2025-07-08T00:00:00"/>
    <s v="Pendiente"/>
    <x v="3"/>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7"/>
    <s v="P"/>
    <s v="P07"/>
    <s v="Establecer programa de coaching formalizado para agentes de CS y ejecutarlo mensualmente"/>
    <d v="2025-07-08T00:00:00"/>
    <s v="Pendiente"/>
    <x v="1"/>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8"/>
    <s v="P"/>
    <s v="P07"/>
    <s v="Programar sesiones de coaching mensual para todos los agentes en períodos Non-peak"/>
    <d v="2025-07-08T00:00:00"/>
    <s v="Pendiente"/>
    <x v="1"/>
    <m/>
    <s v="http://am-node-awe.dpdhl.com/wfo/control/signout?_=1751564804324"/>
    <m/>
    <m/>
    <m/>
    <s v="P07-02"/>
    <s v="Presionar Ctrl+Shift+E"/>
    <x v="0"/>
    <m/>
  </r>
  <r>
    <s v="T20250708-149"/>
    <s v="P"/>
    <s v="P07"/>
    <s v="Aseguirar registro para dar visibilidad del coaching mensual a los agentes de cada equipo"/>
    <d v="2025-07-08T00:00:00"/>
    <s v="Pendiente"/>
    <x v="2"/>
    <m/>
    <s v="https://app.getguru.com/card/iR57EeMT/P7-Coaching-Form"/>
    <m/>
    <m/>
    <m/>
    <s v="P07-03"/>
    <s v="Presionar Ctrl+Shift+E"/>
    <x v="0"/>
    <m/>
  </r>
  <r>
    <s v="T20250708-150"/>
    <s v="P"/>
    <s v="P07"/>
    <s v="Aseguirar registro para dar visibilidad del coaching mensual a los agentes de cada equipo"/>
    <d v="2025-07-08T00:00:00"/>
    <s v="Pendiente"/>
    <x v="3"/>
    <m/>
    <s v="https://app.getguru.com/card/iR57EeMT/P7-Coaching-Form"/>
    <m/>
    <m/>
    <m/>
    <s v="P07-03"/>
    <s v="Presionar Ctrl+Shift+E"/>
    <x v="0"/>
    <m/>
  </r>
  <r>
    <s v="T20250708-151"/>
    <s v="P"/>
    <s v="P07"/>
    <s v="Aseguirar registro para dar visibilidad del coaching mensual a los agentes de cada equipo"/>
    <d v="2025-07-08T00:00:00"/>
    <s v="Pendiente"/>
    <x v="1"/>
    <m/>
    <s v="https://app.getguru.com/card/iR57EeMT/P7-Coaching-Form"/>
    <m/>
    <m/>
    <m/>
    <s v="P07-03"/>
    <s v="Presionar Ctrl+Shift+E"/>
    <x v="0"/>
    <m/>
  </r>
  <r>
    <s v="T20250708-152"/>
    <s v="P"/>
    <s v="P07"/>
    <s v="Realizar feedback inmediato a los agentes con baja performance en algún KPI según corresponda"/>
    <d v="2025-07-08T00:00:00"/>
    <s v="Vencida"/>
    <x v="2"/>
    <m/>
    <s v="https://csacademy.dhl.com/#/"/>
    <m/>
    <m/>
    <m/>
    <s v="P07-04"/>
    <s v="Presionar Ctrl+Shift+E"/>
    <x v="0"/>
    <m/>
  </r>
  <r>
    <s v="T20250708-153"/>
    <s v="P"/>
    <s v="P07"/>
    <s v="Realizar feedback inmediato a los agentes con baja performance en algún KPI según corresponda"/>
    <d v="2025-07-08T00:00:00"/>
    <s v="Vencida"/>
    <x v="3"/>
    <m/>
    <s v="https://csacademy.dhl.com/#/"/>
    <m/>
    <m/>
    <m/>
    <s v="P07-04"/>
    <s v="Presionar Ctrl+Shift+E"/>
    <x v="0"/>
    <m/>
  </r>
  <r>
    <s v="T20250708-154"/>
    <s v="P"/>
    <s v="P08"/>
    <s v="Realizar coaching mensual en formato T-GROW para cada agente"/>
    <d v="2025-07-08T00:00:00"/>
    <s v="Completada"/>
    <x v="0"/>
    <d v="2025-07-08T00:00:00"/>
    <s v="https://csacademy.dhl.com/#/"/>
    <m/>
    <s v="Supervisores se aseguran de usar el modelo T-GROW en todas sus sesiones de coaching. La tarea es la preparación y ejecución correcta."/>
    <s v="Preparar sesión de coaching usando T-GROW;Realizar y documentar sesión"/>
    <s v="P08-01"/>
    <s v="Presionar Ctrl+Shift+E"/>
    <x v="0"/>
    <n v="0"/>
  </r>
  <r>
    <s v="T20250708-155"/>
    <s v="P"/>
    <s v="P08"/>
    <s v="Realizar coaching mensual en formato T-GROW para cada agente"/>
    <d v="2025-07-08T00:00:00"/>
    <s v="Pendiente"/>
    <x v="2"/>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6"/>
    <s v="P"/>
    <s v="P08"/>
    <s v="Realizar coaching mensual en formato T-GROW para cada agente"/>
    <d v="2025-07-08T00:00:00"/>
    <s v="Pendiente"/>
    <x v="3"/>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7"/>
    <s v="P"/>
    <s v="P08"/>
    <s v="Realizar coaching mensual en formato T-GROW para cada agente"/>
    <d v="2025-07-08T00:00:00"/>
    <s v="Pendiente"/>
    <x v="1"/>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8"/>
    <s v="P"/>
    <s v="P09"/>
    <s v="Realizar ejercicios de calibración de QM trimestrales"/>
    <d v="2025-07-08T00:00:00"/>
    <s v="Completada"/>
    <x v="0"/>
    <d v="2025-07-08T00:00:00"/>
    <m/>
    <m/>
    <s v="Realizar sesiones de calibración trimestrales entre todos los roles que evalúan calidad para asegurar consistencia."/>
    <s v="Preparar interacciones a calibrar;Realizar sesión de calibración;Documentar resultados"/>
    <s v="P09-01"/>
    <s v="Presionar Ctrl+Shift+E"/>
    <x v="0"/>
    <n v="0"/>
  </r>
  <r>
    <s v="T20250708-159"/>
    <s v="P"/>
    <s v="P09"/>
    <s v="Realizar ejercicios de calibración de QM trimestrales"/>
    <d v="2025-07-08T00:00:00"/>
    <s v="Pendiente"/>
    <x v="2"/>
    <m/>
    <m/>
    <m/>
    <s v="Realizar sesiones de calibración trimestrales entre todos los roles que evalúan calidad para asegurar consistencia."/>
    <s v="Preparar interacciones a calibrar;Realizar sesión de calibración;Documentar resultados"/>
    <s v="P09-01"/>
    <s v="Presionar Ctrl+Shift+E"/>
    <x v="0"/>
    <m/>
  </r>
  <r>
    <s v="T20250708-160"/>
    <s v="P"/>
    <s v="P09"/>
    <s v="Realizar ejercicios de calibración de QM trimestrales"/>
    <d v="2025-07-08T00:00:00"/>
    <s v="Pendiente"/>
    <x v="3"/>
    <m/>
    <m/>
    <m/>
    <s v="Realizar sesiones de calibración trimestrales entre todos los roles que evalúan calidad para asegurar consistencia."/>
    <s v="Preparar interacciones a calibrar;Realizar sesión de calibración;Documentar resultados"/>
    <s v="P09-01"/>
    <s v="Presionar Ctrl+Shift+E"/>
    <x v="0"/>
    <m/>
  </r>
  <r>
    <s v="T20250708-161"/>
    <s v="P"/>
    <s v="P09"/>
    <s v="Realizar ejercicios de calibración de QM trimestrales"/>
    <d v="2025-07-08T00:00:00"/>
    <s v="Pendiente"/>
    <x v="1"/>
    <m/>
    <m/>
    <m/>
    <s v="Realizar sesiones de calibración trimestrales entre todos los roles que evalúan calidad para asegurar consistencia."/>
    <s v="Preparar interacciones a calibrar;Realizar sesión de calibración;Documentar resultados"/>
    <s v="P09-01"/>
    <s v="Presionar Ctrl+Shift+E"/>
    <x v="0"/>
    <m/>
  </r>
  <r>
    <s v="T20250708-162"/>
    <s v="P"/>
    <s v="P10"/>
    <s v="Realizar monitoreos de calidad regulares según cuota mensual para todos los agentes"/>
    <d v="2025-07-08T00:00:00"/>
    <s v="Pendiente"/>
    <x v="2"/>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3"/>
    <s v="P"/>
    <s v="P10"/>
    <s v="Realizar monitoreos de calidad regulares según cuota mensual para todos los agentes"/>
    <d v="2025-07-08T00:00:00"/>
    <s v="Pendiente"/>
    <x v="3"/>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4"/>
    <s v="P"/>
    <s v="P10"/>
    <s v="Realizar monitoreos de calidad regulares según cuota mensual para todos los agentes"/>
    <d v="2025-07-08T00:00:00"/>
    <s v="Pendiente"/>
    <x v="1"/>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5"/>
    <s v="P"/>
    <s v="P10"/>
    <s v="Asegurarse de dar feedback de las evaluaciones de calidad (monitoreos) con oportunidades de mejora y dejar los registros en el Quality form"/>
    <d v="2025-07-08T00:00:00"/>
    <s v="Pendiente"/>
    <x v="2"/>
    <m/>
    <s v="https://app.getguru.com/card/cMxE7dRi/AUDITORIAS-MENSUALES-DE-CALIDAD"/>
    <m/>
    <m/>
    <m/>
    <s v="P10-02"/>
    <s v="Presionar Ctrl+Shift+E"/>
    <x v="0"/>
    <m/>
  </r>
  <r>
    <s v="T20250708-166"/>
    <s v="P"/>
    <s v="P10"/>
    <s v="Asegurarse de dar feedback de las evaluaciones de calidad (monitoreos) con oportunidades de mejora y dejar los registros en el Quality form"/>
    <d v="2025-07-08T00:00:00"/>
    <s v="Pendiente"/>
    <x v="3"/>
    <m/>
    <s v="https://app.getguru.com/card/cMxE7dRi/AUDITORIAS-MENSUALES-DE-CALIDAD"/>
    <m/>
    <m/>
    <m/>
    <s v="P10-02"/>
    <s v="Presionar Ctrl+Shift+E"/>
    <x v="0"/>
    <m/>
  </r>
  <r>
    <s v="T20250708-167"/>
    <s v="P"/>
    <s v="P10"/>
    <s v="Asegurarse de dar feedback de las evaluaciones de calidad (monitoreos) con oportunidades de mejora y dejar los registros en el Quality form"/>
    <d v="2025-07-08T00:00:00"/>
    <s v="Pendiente"/>
    <x v="1"/>
    <m/>
    <s v="https://app.getguru.com/card/cMxE7dRi/AUDITORIAS-MENSUALES-DE-CALIDAD"/>
    <m/>
    <m/>
    <m/>
    <s v="P10-02"/>
    <s v="Presionar Ctrl+Shift+E"/>
    <x v="0"/>
    <m/>
  </r>
  <r>
    <s v="T20250708-168"/>
    <s v="P"/>
    <s v="P11"/>
    <s v="Implementar Plan de actividades de team building, motivacionales e inspiracionales y documentar evidencia"/>
    <d v="2025-07-08T00:00:00"/>
    <s v="Completada"/>
    <x v="0"/>
    <d v="2025-07-08T00:00:00"/>
    <s v="https://app.getguru.com/card/cdz8Rxei/Calendario-de-Actividades-CS-2024"/>
    <m/>
    <s v="Gerente y supervisores planifican y ejecutan al menos una actividad de team building o motivacional por mes."/>
    <s v="Planificar actividad mensual;Ejecutar y comunicar actividad"/>
    <s v="P11-01"/>
    <s v="Presionar Ctrl+Shift+E"/>
    <x v="0"/>
    <n v="0"/>
  </r>
  <r>
    <s v="T20250708-169"/>
    <s v="P"/>
    <s v="P11"/>
    <s v="Implementar Plan de actividades de team building, motivacionales e inspiracionales y documentar evidencia"/>
    <d v="2025-07-08T00:00:00"/>
    <s v="Pendiente"/>
    <x v="2"/>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0"/>
    <s v="P"/>
    <s v="P11"/>
    <s v="Implementar Plan de actividades de team building, motivacionales e inspiracionales y documentar evidencia"/>
    <d v="2025-07-08T00:00:00"/>
    <s v="Pendiente"/>
    <x v="3"/>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1"/>
    <s v="P"/>
    <s v="P12"/>
    <s v="Implementar planes de acción para mejorar resultados de EOS"/>
    <d v="2025-07-08T00:00:00"/>
    <s v="Completada"/>
    <x v="0"/>
    <d v="2025-07-08T00:00:00"/>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n v="0"/>
  </r>
  <r>
    <s v="T20250708-172"/>
    <s v="P"/>
    <s v="P12"/>
    <s v="Implementar planes de acción para mejorar resultados de EOS"/>
    <d v="2025-07-08T00:00:00"/>
    <s v="Pendiente"/>
    <x v="2"/>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3"/>
    <s v="P"/>
    <s v="P12"/>
    <s v="Implementar planes de acción para mejorar resultados de EOS"/>
    <d v="2025-07-08T00:00:00"/>
    <s v="Pendiente"/>
    <x v="3"/>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4"/>
    <s v="T"/>
    <s v="T01"/>
    <s v="T01.1: Definir y comunicar proceso de &quot;Quality Sales Lead&quot; con Comercial y revisión con equipo de FL"/>
    <d v="2025-07-08T00:00:00"/>
    <s v="Completada"/>
    <x v="0"/>
    <d v="2025-07-08T00:00:00"/>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n v="0"/>
  </r>
  <r>
    <s v="T20250708-175"/>
    <s v="T"/>
    <s v="T01"/>
    <s v="T01.1: Definir y comunicar proceso de &quot;Quality Sales Lead&quot; con Comercial y revisión con equipo de FL"/>
    <d v="2025-07-08T00:00:00"/>
    <s v="Pendiente"/>
    <x v="2"/>
    <m/>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m/>
  </r>
  <r>
    <s v="T20250708-176"/>
    <s v="T"/>
    <s v="T02"/>
    <s v="T02.1: Asegurar gestión de Remote Bookings según Global SOP"/>
    <d v="2025-07-08T00:00:00"/>
    <s v="Pendiente"/>
    <x v="3"/>
    <m/>
    <s v="https://app.getguru.com/card/TdXbBnyc/RB-PROCESS-"/>
    <m/>
    <s v="Supervisor BL realiza una auditoría mensual para verificar que el proceso de Reservas Remotas sigue el SOP Global."/>
    <s v="Auditar casos de RB;Verificar cumplimiento de SOP;Dar feedback y refuerzo"/>
    <s v="T02-01"/>
    <s v="Presionar Ctrl+Shift+E"/>
    <x v="0"/>
    <m/>
  </r>
  <r>
    <s v="T20250708-177"/>
    <s v="T"/>
    <s v="T03"/>
    <s v="T03.1: Asegurar uso correcto de sistema de booking y procedimientos globales"/>
    <d v="2025-07-08T00:00:00"/>
    <s v="Pendiente"/>
    <x v="2"/>
    <m/>
    <s v="https://app.getguru.com/card/TKx97XMc/T3-Registro-de-Bookings"/>
    <m/>
    <s v="Supervisores FL realizan una auditoría mensual para verificar que los agentes siguen correctamente el proceso estándar de toma de reservas en el sistema."/>
    <s v="Auditar reservas en sistema;Verificar uso correcto de códigos;Dar feedback y refuerzo"/>
    <s v="T03-01"/>
    <s v="Presionar Ctrl+Shift+E"/>
    <x v="0"/>
    <m/>
  </r>
  <r>
    <s v="T20250708-178"/>
    <s v="T"/>
    <s v="T05"/>
    <s v="T05.1: Asegurar uso preciso de sistema de gestión de casos (GEMA/SPARK) para traces"/>
    <d v="2025-07-08T00:00:00"/>
    <s v="Pendiente"/>
    <x v="3"/>
    <m/>
    <s v="https://app.getguru.com/card/TgE7b5Mc/POLITICAS-DE-NTP-CC-"/>
    <m/>
    <s v="Supervisor BL realiza una revisión mensual para asegurar el uso preciso del sistema en los casos de seguimiento (traces)."/>
    <s v="Auditar casos de traces;Verificar campos obligatorios;Validar consistencia"/>
    <s v="T05-01"/>
    <s v="Presionar Ctrl+Shift+E"/>
    <x v="0"/>
    <m/>
  </r>
  <r>
    <s v="T20250708-179"/>
    <s v="T"/>
    <s v="T06"/>
    <s v="T06.1: Asegurar cumplimiento de política de tiempo esperado de contacto en sistema para seguimiento de Backline (callbacks)"/>
    <d v="2025-07-08T00:00:00"/>
    <s v="Pendiente"/>
    <x v="2"/>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0"/>
    <s v="T"/>
    <s v="T06"/>
    <s v="T06.1: Asegurar cumplimiento de política de tiempo esperado de contacto en sistema para seguimiento de Backline (callbacks)"/>
    <d v="2025-07-08T00:00:00"/>
    <s v="Pendiente"/>
    <x v="3"/>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1"/>
    <s v="T"/>
    <s v="T06"/>
    <s v="Analizar performance callbaks, realizar feedbacks inmediatos a agentes de BL/KAD por fallas en el cumplimiento y documentar acciones"/>
    <d v="2025-07-08T00:00:00"/>
    <s v="Vencida"/>
    <x v="3"/>
    <m/>
    <s v="https://dpdhl.sharepoint.com/:f:/r/teams/CSManagement962/Shared%20Documents/General/Directorio%20COE/T6/FEEDBACK%20CB%202025?csf=1&amp;web=1&amp;e=QOS7Wc"/>
    <m/>
    <m/>
    <m/>
    <s v="T06-02"/>
    <s v="Presionar Ctrl+Shift+E"/>
    <x v="0"/>
    <m/>
  </r>
  <r>
    <s v="T20250708-182"/>
    <s v="T"/>
    <s v="T07"/>
    <s v="T07.1: Asegurar uso preciso de sistema de gestión de casos para Claims"/>
    <d v="2025-07-08T00:00:00"/>
    <s v="Pendiente"/>
    <x v="3"/>
    <m/>
    <s v="https://app.getguru.com/card/TgE7b5Mc/POLITICAS-DE-NTP-CC-"/>
    <m/>
    <s v="Supervisor BL verifica mensualmente el uso preciso del sistema para los casos de Reclamaciones (Claims)."/>
    <s v="Auditar casos de Claims;Verificar clasificación y SLAs"/>
    <s v="T07-01"/>
    <s v="Presionar Ctrl+Shift+E"/>
    <x v="0"/>
    <m/>
  </r>
  <r>
    <s v="T20250708-183"/>
    <s v="T"/>
    <s v="T08"/>
    <s v="T08.1: Asegurar uso preciso de sistema para Complaints y Guía de Recuperación de Servicio"/>
    <d v="2025-07-08T00:00:00"/>
    <s v="Pendiente"/>
    <x v="3"/>
    <m/>
    <s v="https://app.getguru.com/card/TgE7b5Mc/POLITICAS-DE-NTP-CC-"/>
    <m/>
    <s v="Supervisor BL verifica mensualmente el uso preciso del sistema para Quejas (Complaints) y la aplicación de la Guía de Recuperación de Servicio."/>
    <s v="Auditar casos de Complaints;Verificar aplicación de Service Recovery"/>
    <s v="T08-01"/>
    <s v="Presionar Ctrl+Shift+E"/>
    <x v="0"/>
    <m/>
  </r>
  <r>
    <s v="T20250708-184"/>
    <s v="T"/>
    <s v="T09"/>
    <s v="T09.1: Documentar y comunicar niveles de empoderamiento para resolución"/>
    <d v="2025-07-08T00:00:00"/>
    <s v="Completada"/>
    <x v="0"/>
    <d v="2025-07-08T00:00:00"/>
    <s v="https://dpdhl.sharepoint.com/:f:/r/teams/CSManagement962/Shared%20Documents/General/Directorio%20COE/T9%20-%20empoderamiento?csf=1&amp;web=1&amp;e=3VP8Cw"/>
    <m/>
    <s v="Gerente revisa y comunica anualmente los niveles de empoderamiento (ej. montos de compensación) que tiene el personal para resolver casos."/>
    <s v="Revisar matriz de empoderamiento;Actualizar si es necesario;Comunicar a todo el personal"/>
    <s v="T09-01"/>
    <s v="Presionar Ctrl+Shift+E"/>
    <x v="0"/>
    <n v="0"/>
  </r>
  <r>
    <s v="T20250708-185"/>
    <s v="T"/>
    <s v="T09"/>
    <s v="Asegurar entendimiento y aplicación de la matriz de empoderamiento por equipo FL/BL/KAD"/>
    <d v="2025-07-08T00:00:00"/>
    <s v="Pendiente"/>
    <x v="2"/>
    <m/>
    <s v="https://app.getguru.com/folders/cRj4ekai/Empowerment"/>
    <m/>
    <m/>
    <m/>
    <s v="T09-02"/>
    <s v="Presionar Ctrl+Shift+E"/>
    <x v="0"/>
    <m/>
  </r>
  <r>
    <s v="T20250708-186"/>
    <s v="T"/>
    <s v="T09"/>
    <s v="Asegurar entendimiento y aplicación de la matriz de empoderamiento por equipo FL/BL/KAD"/>
    <d v="2025-07-08T00:00:00"/>
    <s v="Pendiente"/>
    <x v="3"/>
    <m/>
    <s v="https://app.getguru.com/folders/cRj4ekai/Empowerment"/>
    <m/>
    <m/>
    <m/>
    <s v="T09-02"/>
    <s v="Presionar Ctrl+Shift+E"/>
    <x v="0"/>
    <m/>
  </r>
  <r>
    <s v="T20250708-187"/>
    <s v="T"/>
    <s v="T10"/>
    <s v="T10.1: Asegurar carga de plantillas/cartas estándar en sistema de gestión de casos (Gema/Spark)"/>
    <d v="2025-07-08T00:00:00"/>
    <s v="Pendiente"/>
    <x v="3"/>
    <m/>
    <s v="https://gemaadmin.dhl.com/"/>
    <m/>
    <s v="Supervisor verifica semestralmente que todas las plantillas de comunicación estándar están cargadas y actualizadas en el sistema."/>
    <s v="Revisar listado de plantillas;Verificar su existencia y versión en sistema"/>
    <s v="T10-01"/>
    <s v="Presionar Ctrl+Shift+E"/>
    <x v="0"/>
    <m/>
  </r>
  <r>
    <s v="T20250708-188"/>
    <s v="T"/>
    <s v="T10"/>
    <s v="Registrar cartas estándar en Gema/Spark aprobadas por los departamentos correspondientes (Marketing-Legales)."/>
    <d v="2025-07-08T00:00:00"/>
    <s v="Pendiente"/>
    <x v="3"/>
    <m/>
    <s v="https://app.getguru.com/card/io8opzpT/CARTAS-EN-GEMA-"/>
    <m/>
    <m/>
    <m/>
    <s v="T10-02"/>
    <s v="Presionar Ctrl+Shift+E"/>
    <x v="0"/>
    <m/>
  </r>
  <r>
    <s v="T20250708-189"/>
    <s v="T"/>
    <s v="T10"/>
    <s v="Monitorear uso correcto de cartas estándar en Gema/Spark"/>
    <d v="2025-07-08T00:00:00"/>
    <s v="Pendiente"/>
    <x v="3"/>
    <m/>
    <s v="https://gema.dhl.com/jsp/loginDiv.jsf?message=errors.login.sessionTimedOut&amp;shipment=3683544056~8430132653~1250109630&amp;Request=&amp;piece="/>
    <m/>
    <m/>
    <m/>
    <s v="T10-03"/>
    <s v="Presionar Ctrl+Shift+E"/>
    <x v="0"/>
    <m/>
  </r>
  <r>
    <s v="T20250708-190"/>
    <s v="T"/>
    <s v="T11"/>
    <s v="T11.1: Asegurar uso de proceso de aprobación GEMA/SPARK para pagos de compensación"/>
    <d v="2025-07-08T00:00:00"/>
    <s v="Completada"/>
    <x v="0"/>
    <d v="2025-07-08T00:00:00"/>
    <s v="https://gema.dhl.com/jsp/loginDiv.jsf?message=errors.login.sessionTimedOut&amp;shipment=3683544056~8430132653~1250109630&amp;Request=&amp;piece="/>
    <m/>
    <s v="Gerente realiza una auditoría trimestral para asegurar que todos los pagos de compensación han seguido el proceso de aprobación establecido."/>
    <s v="Muestrear pagos de compensación;Verificar firmas/aprobaciones digitales"/>
    <s v="T11-01"/>
    <s v="Presionar Ctrl+Shift+E"/>
    <x v="0"/>
    <n v="0"/>
  </r>
  <r>
    <s v="T20250708-191"/>
    <s v="T"/>
    <s v="T12"/>
    <s v="T12.1: Asegurar utilización de Herramienta de Reporteo de Cuentas Clave (KART) de acuerdo con Nomination forms. Se aconseja control cruzado entre KADs"/>
    <d v="2025-07-08T00:00:00"/>
    <s v="Pendiente"/>
    <x v="3"/>
    <m/>
    <s v="https://kart3.dhl.com/kart/auth/login"/>
    <m/>
    <s v="Supervisor BL/KAD asegura que el equipo KAD utiliza la herramienta KART para todos los reportes requeridos. Verificación mensual."/>
    <s v="Revisar reportes generados;Validar que provienen de KART"/>
    <s v="T12-01"/>
    <s v="Presionar Ctrl+Shift+E"/>
    <x v="0"/>
    <m/>
  </r>
  <r>
    <s v="T20250708-192"/>
    <s v="T"/>
    <s v="T13"/>
    <s v="T13.1: Asegurar implementación y cobertura de casos de uso del Asistente Virtual Global (GVA)"/>
    <d v="2025-07-08T00:00:00"/>
    <s v="Completada"/>
    <x v="0"/>
    <d v="2025-07-08T00:00:00"/>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n v="0"/>
  </r>
  <r>
    <s v="T20250708-193"/>
    <s v="T"/>
    <s v="T13"/>
    <s v="T13.1: Asegurar implementación y cobertura de casos de uso del Asistente Virtual Global (GVA)"/>
    <d v="2025-07-08T00:00:00"/>
    <s v="Pendiente"/>
    <x v="1"/>
    <m/>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m/>
  </r>
  <r>
    <s v="T20250708-194"/>
    <s v="T"/>
    <s v="T13"/>
    <s v="Documentar acciones de mejora basado en análisis de reportes de GVA"/>
    <d v="2025-07-08T00:00:00"/>
    <s v="Pendiente"/>
    <x v="1"/>
    <m/>
    <s v="https://dpdhl.sharepoint.com/:f:/r/teams/CSManagement962/Shared%20Documents/General/Directorio%20COE/T13-%20An%C3%A1lisis%20GVA?csf=1&amp;web=1&amp;e=yNY9Qq"/>
    <m/>
    <m/>
    <m/>
    <s v="T13-02"/>
    <s v="Presionar Ctrl+Shift+E"/>
    <x v="0"/>
    <m/>
  </r>
  <r>
    <s v="T20250708-195"/>
    <s v="T"/>
    <s v="T14"/>
    <s v="T14.1: Asegurar disponibilidad y actualización de documentación de enrutamiento de llamadas (FDS/BDC)"/>
    <d v="2025-07-08T00:00:00"/>
    <s v="Completada"/>
    <x v="0"/>
    <d v="2025-07-08T00:00:00"/>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n v="0"/>
  </r>
  <r>
    <s v="T20250708-196"/>
    <s v="T"/>
    <s v="T14"/>
    <s v="T14.1: Asegurar disponibilidad y actualización de documentación de enrutamiento de llamadas (FDS/BDC)"/>
    <d v="2025-07-08T00:00:00"/>
    <s v="Pendiente"/>
    <x v="1"/>
    <m/>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m/>
  </r>
  <r>
    <s v="T20250708-197"/>
    <s v="T"/>
    <s v="T15"/>
    <s v="T15.1: Revisar configuración IVR con máximo 3 capas y 5 opciones, y opción a agente en vivo"/>
    <d v="2025-07-08T00:00:00"/>
    <s v="Completada"/>
    <x v="0"/>
    <d v="2025-07-08T00:00:00"/>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n v="0"/>
  </r>
  <r>
    <s v="T20250708-198"/>
    <s v="T"/>
    <s v="T15"/>
    <s v="T15.1: Revisar configuración IVR con máximo 3 capas y 5 opciones, y opción a agente en vivo"/>
    <d v="2025-07-08T00:00:00"/>
    <s v="Pendiente"/>
    <x v="1"/>
    <m/>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m/>
  </r>
  <r>
    <s v="T20250708-199"/>
    <s v="T"/>
    <s v="T16"/>
    <s v="T16.1: Revisar configuración de Asistente Automático (AA) para optimizar enrutamiento y acceso a agente"/>
    <d v="2025-07-08T00:00:00"/>
    <s v="Completada"/>
    <x v="0"/>
    <d v="2025-07-08T00:00:00"/>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n v="0"/>
  </r>
  <r>
    <s v="T20250708-200"/>
    <s v="T"/>
    <s v="T16"/>
    <s v="T16.1: Revisar configuración de Asistente Automático (AA) para optimizar enrutamiento y acceso a agente"/>
    <d v="2025-07-08T00:00:00"/>
    <s v="Pendiente"/>
    <x v="1"/>
    <m/>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m/>
  </r>
  <r>
    <s v="T20250709-201"/>
    <s v="L"/>
    <s v="L03"/>
    <s v="Distribuir reportes de desempeño a los agentes para su revisión y análisis"/>
    <d v="2025-07-09T00:00:00"/>
    <s v="Pendiente"/>
    <x v="1"/>
    <m/>
    <s v="https://app.getguru.com/card/cgEbRpAi/COE-M3-M4-Daily-Reporting-CS-PA-"/>
    <m/>
    <s v="CSD genera y distribuye reportes base. Supervisores comunican y explican a equipos."/>
    <s v="Generar y enviar reporte diario de KPIs"/>
    <s v="L03-03"/>
    <s v="Presionar Ctrl+Shift+E"/>
    <x v="0"/>
    <m/>
  </r>
  <r>
    <s v="T20250709-202"/>
    <s v="L"/>
    <s v="L05"/>
    <s v="Revisar diariamente llamadas reales vs. forecast y hacer comentarios cuando la variación es de +/- 10%"/>
    <d v="2025-07-09T00:00:00"/>
    <s v="Pendiente"/>
    <x v="1"/>
    <m/>
    <s v="https://dpdhl.sharepoint.com/:x:/r/teams/CSManagement962/Shared%20Documents/General/Directorio%20COE/L4%20Capacity%20FL/2025/Capacity/PA%20-%20WFM%20Tool%20Frontline%202025.xlsm?d=w67e1cbbeca88499180eaf51b9eba8bb3&amp;csf=1&amp;web=1&amp;e=7MLSz6"/>
    <m/>
    <m/>
    <m/>
    <s v="L05-02"/>
    <s v="Presionar Ctrl+Shift+E"/>
    <x v="0"/>
    <m/>
  </r>
  <r>
    <s v="T20250709-203"/>
    <s v="L"/>
    <s v="L05"/>
    <s v="Realizar y guardar evidencia de re-forecast en WFM tool de acuerdo a variaciones en el volumen actual de llamadas para ajustar manpower"/>
    <d v="2025-07-09T00:00:00"/>
    <s v="Pendiente"/>
    <x v="1"/>
    <m/>
    <s v="https://dpdhl.sharepoint.com/:f:/r/teams/CSManagement962/Shared%20Documents/General/Directorio%20COE/L5%20Forecast%20accuracy%20FL/2025/Evidencia%20re-forecast?csf=1&amp;web=1&amp;e=jIxJWn"/>
    <m/>
    <m/>
    <m/>
    <s v="L05-03"/>
    <s v="Presionar Ctrl+Shift+E"/>
    <x v="0"/>
    <m/>
  </r>
  <r>
    <s v="T20250709-204"/>
    <s v="L"/>
    <s v="L08"/>
    <s v="Monitoreo en Tiempo Real (RTA) de adherencia y metricas fuera de lo normal (AHT, ACW prolongados, etc.)"/>
    <d v="2025-07-09T00:00:00"/>
    <s v="Pendiente"/>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5"/>
    <s v="L"/>
    <s v="L08"/>
    <s v="Monitoreo en Tiempo Real (RTA) de adherencia y metricas fuera de lo normal (AHT, ACW prolongados, etc.)"/>
    <d v="2025-07-09T00:00:00"/>
    <s v="Pendiente"/>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6"/>
    <s v="L"/>
    <s v="L09"/>
    <s v="Monitorear y analizar workload diario BL/KAD"/>
    <d v="2025-07-09T00:00:00"/>
    <s v="Pendiente"/>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7"/>
    <s v="L"/>
    <s v="L09"/>
    <s v="Monitorear y analizar workload diario BL/KAD"/>
    <d v="2025-07-09T00:00:00"/>
    <s v="Pendiente"/>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8"/>
    <s v="L"/>
    <s v="L11"/>
    <s v="Rastrear y registrar ausencias"/>
    <d v="2025-07-09T00:00:00"/>
    <s v="Pendiente"/>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9-209"/>
    <s v="L"/>
    <s v="L12"/>
    <s v="Gestionar trabajo de ausentes. Apoyarse en Plan de Contingencias"/>
    <d v="2025-07-09T00:00:00"/>
    <s v="Pendiente"/>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0"/>
    <s v="L"/>
    <s v="L12"/>
    <s v="Gestionar trabajo de ausentes. Apoyarse en Plan de Contingencias"/>
    <d v="2025-07-09T00:00:00"/>
    <s v="Pendiente"/>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1"/>
    <s v="L"/>
    <s v="L12"/>
    <s v="Gestionar trabajo de ausentes. Apoyarse en Plan de Contingencias"/>
    <d v="2025-07-09T00:00:00"/>
    <s v="Pendiente"/>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2"/>
    <s v="M"/>
    <s v="M03"/>
    <s v="M03.1: Utilizar reportes estándar (PPMT y otros) para medir KPIs y eficiencia"/>
    <d v="2025-07-09T00:00:00"/>
    <s v="Pendiente"/>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9-213"/>
    <s v="M"/>
    <s v="M03"/>
    <s v="Realizar reporte casos por cerrar de BL/KAD diario"/>
    <d v="2025-07-09T00:00:00"/>
    <s v="Pendiente"/>
    <x v="1"/>
    <m/>
    <s v="https://dpdhl.sharepoint.com/:f:/r/teams/CSManagement962/Shared%20Documents/General/Directorio%20COE/M3%20-%20Reportes/Casos%20x%20Cerrar?csf=1&amp;web=1&amp;e=pTiEBB"/>
    <m/>
    <m/>
    <m/>
    <s v="M03-04"/>
    <s v="Presionar Ctrl+Shift+E"/>
    <x v="0"/>
    <m/>
  </r>
  <r>
    <s v="T20250709-214"/>
    <s v="M"/>
    <s v="M03"/>
    <s v="Realizar reporte de performance diario para FL/BL y KAD"/>
    <d v="2025-07-09T00:00:00"/>
    <s v="Pendiente"/>
    <x v="1"/>
    <m/>
    <s v="https://dpdhl.sharepoint.com/:f:/r/teams/CSManagement962/Shared%20Documents/General/Directorio%20COE/M3%20-%20Reportes/Daily%20Customer%20Service%20Performance%20Report?csf=1&amp;web=1&amp;e=hUsw3t"/>
    <m/>
    <m/>
    <m/>
    <s v="M03-05"/>
    <s v="Presionar Ctrl+Shift+E"/>
    <x v="0"/>
    <m/>
  </r>
  <r>
    <s v="T20250709-215"/>
    <s v="M"/>
    <s v="M03"/>
    <s v="Realizar reporte de mails diario para agentes de FL/BL y KAD"/>
    <d v="2025-07-09T00:00:00"/>
    <s v="Pendiente"/>
    <x v="1"/>
    <m/>
    <s v="https://dpdhl.sharepoint.com/:f:/r/teams/CSManagement962/Shared%20Documents/General/Directorio%20COE/M3%20-%20Reportes/MCT%20PA%20Report?csf=1&amp;web=1&amp;e=ObM0PZ"/>
    <m/>
    <m/>
    <m/>
    <s v="M03-08"/>
    <s v="Presionar Ctrl+Shift+E"/>
    <x v="0"/>
    <m/>
  </r>
  <r>
    <s v="T20250709-216"/>
    <s v="M"/>
    <s v="M03"/>
    <s v="Realizar reporte de Chat diario para agentes de FL/KAD"/>
    <d v="2025-07-09T00:00:00"/>
    <s v="Pendiente"/>
    <x v="1"/>
    <m/>
    <s v="https://app.powerbi.com/groups/me/apps/a91e7e0a-1652-440f-8f81-79fa9459f076/reports/e7d5de1f-4e51-45de-a0b6-ee08e97b1b3a/ReportSection?ctid=cd99fef8-1cd3-4a2a-9bdf-15531181d65e&amp;experience=power-bi"/>
    <m/>
    <m/>
    <m/>
    <s v="M03-09"/>
    <s v="Presionar Ctrl+Shift+E"/>
    <x v="0"/>
    <m/>
  </r>
  <r>
    <s v="T20250709-217"/>
    <s v="M"/>
    <s v="M03"/>
    <s v="Realizar reporte de Aging diario para agentes de BL/KAD y supervisores analizan casos de mayor aging con agentes"/>
    <d v="2025-07-09T00:00:00"/>
    <s v="Pendiente"/>
    <x v="3"/>
    <m/>
    <s v="https://app.powerbi.com/groups/me/apps/a91e7e0a-1652-440f-8f81-79fa9459f076/reports/3cbaff75-757e-4736-86c5-6a5a6ad7fe62/ReportSection?ctid=cd99fef8-1cd3-4a2a-9bdf-15531181d65e&amp;experience=power-bi"/>
    <m/>
    <m/>
    <m/>
    <s v="M03-10"/>
    <s v="Presionar Ctrl+Shift+E"/>
    <x v="0"/>
    <m/>
  </r>
  <r>
    <s v="T20250709-218"/>
    <s v="M"/>
    <s v="M03"/>
    <s v="Realizar reporte de Aging diario para agentes de BL/KAD y supervisores analizan casos de mayor aging con agentes"/>
    <d v="2025-07-09T00:00:00"/>
    <s v="Pendiente"/>
    <x v="1"/>
    <m/>
    <s v="https://app.powerbi.com/groups/me/apps/a91e7e0a-1652-440f-8f81-79fa9459f076/reports/3cbaff75-757e-4736-86c5-6a5a6ad7fe62/ReportSection?ctid=cd99fef8-1cd3-4a2a-9bdf-15531181d65e&amp;experience=power-bi"/>
    <m/>
    <m/>
    <m/>
    <s v="M03-10"/>
    <s v="Presionar Ctrl+Shift+E"/>
    <x v="0"/>
    <m/>
  </r>
  <r>
    <s v="T20250709-219"/>
    <s v="M"/>
    <s v="M05"/>
    <s v="M05.1: Revisar diariamente resultados de desempeño e implementar acciones correctivas y documentar evidencia de seguimiento"/>
    <d v="2025-07-09T00:00:00"/>
    <s v="Pendiente"/>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0"/>
    <s v="M"/>
    <s v="M05"/>
    <s v="M05.1: Revisar diariamente resultados de desempeño e implementar acciones correctivas y documentar evidencia de seguimiento"/>
    <d v="2025-07-09T00:00:00"/>
    <s v="Pendiente"/>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1"/>
    <s v="P"/>
    <s v="P07"/>
    <s v="Realizar feedback inmediato a los agentes con baja performance en algún KPI según corresponda"/>
    <d v="2025-07-09T00:00:00"/>
    <s v="Pendiente"/>
    <x v="2"/>
    <m/>
    <s v="https://csacademy.dhl.com/#/"/>
    <m/>
    <m/>
    <m/>
    <s v="P07-04"/>
    <s v="Presionar Ctrl+Shift+E"/>
    <x v="0"/>
    <m/>
  </r>
  <r>
    <s v="T20250709-222"/>
    <s v="P"/>
    <s v="P07"/>
    <s v="Realizar feedback inmediato a los agentes con baja performance en algún KPI según corresponda"/>
    <d v="2025-07-09T00:00:00"/>
    <s v="Pendiente"/>
    <x v="3"/>
    <m/>
    <s v="https://csacademy.dhl.com/#/"/>
    <m/>
    <m/>
    <m/>
    <s v="P07-04"/>
    <s v="Presionar Ctrl+Shift+E"/>
    <x v="0"/>
    <m/>
  </r>
  <r>
    <s v="T20250709-223"/>
    <s v="T"/>
    <s v="T06"/>
    <s v="Analizar performance callbaks, realizar feedbacks inmediatos a agentes de BL/KAD por fallas en el cumplimiento y documentar acciones"/>
    <d v="2025-07-09T00:00:00"/>
    <s v="Pendiente"/>
    <x v="3"/>
    <m/>
    <s v="https://dpdhl.sharepoint.com/:f:/r/teams/CSManagement962/Shared%20Documents/General/Directorio%20COE/T6/FEEDBACK%20CB%202025?csf=1&amp;web=1&amp;e=QOS7Wc"/>
    <m/>
    <m/>
    <m/>
    <s v="T06-02"/>
    <s v="Presionar Ctrl+Shift+E"/>
    <x v="0"/>
    <m/>
  </r>
  <r>
    <s v="T20241101-1"/>
    <s v="L"/>
    <m/>
    <m/>
    <m/>
    <m/>
    <x v="4"/>
    <m/>
    <m/>
    <m/>
    <m/>
    <m/>
    <m/>
    <m/>
    <x v="0"/>
    <m/>
  </r>
  <r>
    <s v="T20250221-1"/>
    <s v="L"/>
    <m/>
    <m/>
    <m/>
    <m/>
    <x v="4"/>
    <m/>
    <m/>
    <m/>
    <m/>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
  <r>
    <s v="T20250708-2"/>
    <s v="L"/>
    <s v="L01"/>
    <s v="Definir y mantener actualizado el CSE Scorecard"/>
    <d v="2025-07-08T00:00:00"/>
    <s v="Completada"/>
    <x v="0"/>
    <d v="2025-07-08T00:00:00"/>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n v="0"/>
  </r>
  <r>
    <s v="T20250708-3"/>
    <s v="L"/>
    <s v="L01"/>
    <s v="Definir y mantener actualizado el CSE Scorecard"/>
    <d v="2025-07-08T00:00:00"/>
    <s v="Pendiente"/>
    <x v="1"/>
    <m/>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m/>
  </r>
  <r>
    <s v="T20250708-4"/>
    <s v="L"/>
    <s v="L01"/>
    <s v="Comunicar y capacitar sobre el CSE Scorecard"/>
    <d v="2025-07-08T00:00:00"/>
    <s v="Completada"/>
    <x v="0"/>
    <d v="2025-07-08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0"/>
  </r>
  <r>
    <s v="T20250708-5"/>
    <s v="L"/>
    <s v="L01"/>
    <s v="Comunicar y capacitar sobre el CSE Scorecard"/>
    <d v="2025-07-08T00:00:00"/>
    <s v="Completada"/>
    <x v="2"/>
    <d v="2025-07-15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7"/>
  </r>
  <r>
    <s v="T20250708-6"/>
    <s v="L"/>
    <s v="L01"/>
    <s v="Comunicar y capacitar sobre el CSE Scorecard"/>
    <d v="2025-07-08T00:00:00"/>
    <s v="Pendiente"/>
    <x v="3"/>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7"/>
    <s v="L"/>
    <s v="L01"/>
    <s v="Comunicar y capacitar sobre el CSE Scorecard"/>
    <d v="2025-07-08T00:00:00"/>
    <s v="Pendiente"/>
    <x v="1"/>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8"/>
    <s v="L"/>
    <s v="L01"/>
    <s v="Preparación para Auditoría - Simulacro KPIs"/>
    <d v="2025-07-08T00:00:00"/>
    <s v="Completada"/>
    <x v="0"/>
    <d v="2025-07-08T00:00:00"/>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n v="0"/>
  </r>
  <r>
    <s v="T20250708-9"/>
    <s v="L"/>
    <s v="L01"/>
    <s v="Preparación para Auditoría - Simulacro KPIs"/>
    <d v="2025-07-08T00:00:00"/>
    <s v="Pendiente"/>
    <x v="2"/>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0"/>
    <s v="L"/>
    <s v="L01"/>
    <s v="Preparación para Auditoría - Simulacro KPIs"/>
    <d v="2025-07-08T00:00:00"/>
    <s v="Pendiente"/>
    <x v="3"/>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1"/>
    <s v="L"/>
    <s v="L01"/>
    <s v="Preparación para Auditoría - Simulacro KPIs"/>
    <d v="2025-07-08T00:00:00"/>
    <s v="Pendiente"/>
    <x v="1"/>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2"/>
    <s v="L"/>
    <s v="L01"/>
    <s v="Asegurar que Gerencia y Supervisores expliquen el Scorecard"/>
    <d v="2025-07-08T00:00:00"/>
    <s v="Completada"/>
    <x v="0"/>
    <d v="2025-07-08T00:00:00"/>
    <s v="https://ppmt.dhl.com/ppmt/#/ppmt/auth"/>
    <m/>
    <s v="Gerente auto-prepara y prepara a Supervisores en todas las métricas, cálculo e impacto."/>
    <s v="Sesión de preparación con Supervisores y CSD"/>
    <s v="L01-04"/>
    <s v="Presionar Ctrl+Shift+E"/>
    <x v="0"/>
    <n v="0"/>
  </r>
  <r>
    <s v="T20250708-13"/>
    <s v="L"/>
    <s v="L01"/>
    <s v="Verificar accesibilidad del CSE Scorecard"/>
    <d v="2025-07-08T00:00:00"/>
    <s v="Pendiente"/>
    <x v="2"/>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4"/>
    <s v="L"/>
    <s v="L01"/>
    <s v="Verificar accesibilidad del CSE Scorecard"/>
    <d v="2025-07-08T00:00:00"/>
    <s v="Pendiente"/>
    <x v="3"/>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5"/>
    <s v="L"/>
    <s v="L01"/>
    <s v="Verificar accesibilidad del CSE Scorecard"/>
    <d v="2025-07-08T00:00:00"/>
    <s v="Pendiente"/>
    <x v="1"/>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6"/>
    <s v="L"/>
    <s v="L02"/>
    <s v="Asegurar que existen Job Descriptions (JD) actualizadas"/>
    <d v="2025-07-08T00:00:00"/>
    <s v="Completada"/>
    <x v="0"/>
    <d v="2025-07-08T00:00:00"/>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n v="0"/>
  </r>
  <r>
    <s v="T20250708-17"/>
    <s v="L"/>
    <s v="L02"/>
    <s v="Asegurar que existen Job Descriptions (JD) actualizadas"/>
    <d v="2025-07-08T00:00:00"/>
    <s v="Pendiente"/>
    <x v="2"/>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8"/>
    <s v="L"/>
    <s v="L02"/>
    <s v="Asegurar que existen Job Descriptions (JD) actualizadas"/>
    <d v="2025-07-08T00:00:00"/>
    <s v="Pendiente"/>
    <x v="3"/>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9"/>
    <s v="L"/>
    <s v="L02"/>
    <s v="Asegurar que existen Job Descriptions (JD) actualizadas"/>
    <d v="2025-07-08T00:00:00"/>
    <s v="Pendiente"/>
    <x v="1"/>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20"/>
    <s v="L"/>
    <s v="L02"/>
    <s v="Comunicar formalmente las JDs y obtener acuse de recibo"/>
    <d v="2025-07-08T00:00:00"/>
    <s v="Completada"/>
    <x v="0"/>
    <d v="2025-07-08T00:00:00"/>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n v="0"/>
  </r>
  <r>
    <s v="T20250708-21"/>
    <s v="L"/>
    <s v="L02"/>
    <s v="Comunicar formalmente las JDs y obtener acuse de recibo"/>
    <d v="2025-07-08T00:00:00"/>
    <s v="Pendiente"/>
    <x v="2"/>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2"/>
    <s v="L"/>
    <s v="L02"/>
    <s v="Comunicar formalmente las JDs y obtener acuse de recibo"/>
    <d v="2025-07-08T00:00:00"/>
    <s v="Pendiente"/>
    <x v="3"/>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3"/>
    <s v="L"/>
    <s v="L02"/>
    <s v="Asegurar actualización del sistema HR (MyTalentWorld)"/>
    <d v="2025-07-08T00:00:00"/>
    <s v="Completada"/>
    <x v="0"/>
    <d v="2025-07-08T00:00:00"/>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n v="0"/>
  </r>
  <r>
    <s v="T20250708-24"/>
    <s v="L"/>
    <s v="L02"/>
    <s v="Asegurar actualización del sistema HR (MyTalentWorld)"/>
    <d v="2025-07-08T00:00:00"/>
    <s v="Pendiente"/>
    <x v="2"/>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5"/>
    <s v="L"/>
    <s v="L02"/>
    <s v="Asegurar actualización del sistema HR (MyTalentWorld)"/>
    <d v="2025-07-08T00:00:00"/>
    <s v="Pendiente"/>
    <x v="3"/>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6"/>
    <s v="L"/>
    <s v="L02"/>
    <s v="Preparación para Auditoría - Simulacro JDs y en MyTalent"/>
    <d v="2025-07-08T00:00:00"/>
    <s v="Pendiente"/>
    <x v="2"/>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7"/>
    <s v="L"/>
    <s v="L02"/>
    <s v="Preparación para Auditoría - Simulacro JDs y en MyTalent"/>
    <d v="2025-07-08T00:00:00"/>
    <s v="Pendiente"/>
    <x v="3"/>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8"/>
    <s v="L"/>
    <s v="L02"/>
    <s v="Verificar accesibilidad de JDs"/>
    <d v="2025-07-08T00:00:00"/>
    <s v="Pendiente"/>
    <x v="1"/>
    <m/>
    <s v="https://app.getguru.com/folders/TokX4aMc/L2"/>
    <m/>
    <s v="Gerente define repositorio, CSD apoya en gestión. La tarea es la verificación."/>
    <s v="Verificar acceso a repositorio de JDs"/>
    <s v="L02-05"/>
    <s v="Presionar Ctrl+Shift+E"/>
    <x v="0"/>
    <m/>
  </r>
  <r>
    <s v="T20250708-29"/>
    <s v="L"/>
    <s v="L03"/>
    <s v="Ejecutar reunión departamental mensual"/>
    <d v="2025-07-08T00:00:00"/>
    <s v="Completada"/>
    <x v="0"/>
    <d v="2025-07-08T00:00:00"/>
    <s v="https://app.getguru.com/folders/ixj7eBpT/Revisiones-de-equipo"/>
    <m/>
    <s v="Gerente lidera la reunión mensual con todo el departamento."/>
    <s v="Realizar reunión mensual departamental"/>
    <s v="L03-02"/>
    <s v="Presionar Ctrl+Shift+E"/>
    <x v="0"/>
    <n v="0"/>
  </r>
  <r>
    <s v="T20250708-30"/>
    <s v="L"/>
    <s v="L03"/>
    <s v="Distribuir reportes de desempeño a los agentes para su revisión y análisis"/>
    <d v="2025-07-08T00:00:00"/>
    <s v="Vencida"/>
    <x v="1"/>
    <m/>
    <s v="https://app.getguru.com/card/cgEbRpAi/COE-M3-M4-Daily-Reporting-CS-PA-"/>
    <m/>
    <s v="CSD genera y distribuye reportes base. Supervisores comunican y explican a equipos."/>
    <s v="Generar y enviar reporte diario de KPIs"/>
    <s v="L03-03"/>
    <s v="Presionar Ctrl+Shift+E"/>
    <x v="0"/>
    <m/>
  </r>
  <r>
    <s v="T20250708-31"/>
    <s v="L"/>
    <s v="L04"/>
    <s v="Generar forecast de llamadas (mensual)"/>
    <d v="2025-07-08T00:00:00"/>
    <s v="Pendiente"/>
    <x v="1"/>
    <m/>
    <s v="https://dpdhl.sharepoint.com/:x:/r/teams/CSManagement962/Shared%20Documents/General/Directorio%20COE/L4%20Capacity%20FL/2025/Capacity/PA%20-%20WFM%20Tool%20Frontline%202025.xlsm?d=w67e1cbbeca88499180eaf51b9eba8bb3&amp;csf=1&amp;web=1&amp;e=v9L09M"/>
    <m/>
    <s v="CSD genera el forecast mensual de llamadas según metodología."/>
    <s v="Generar forecast mensual de llamadas"/>
    <s v="L04-01"/>
    <s v="Presionar Ctrl+Shift+E"/>
    <x v="0"/>
    <m/>
  </r>
  <r>
    <s v="T20250708-32"/>
    <s v="L"/>
    <s v="L04"/>
    <s v="Revisar y validar internamente el forecast de llamadas"/>
    <d v="2025-07-08T00:00:00"/>
    <s v="Completada"/>
    <x v="0"/>
    <d v="2025-07-08T00:00:00"/>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n v="0"/>
  </r>
  <r>
    <s v="T20250708-33"/>
    <s v="L"/>
    <s v="L04"/>
    <s v="Revisar y validar internamente el forecast de llamadas"/>
    <d v="2025-07-08T00:00:00"/>
    <s v="Pendiente"/>
    <x v="1"/>
    <m/>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m/>
  </r>
  <r>
    <s v="T20250708-34"/>
    <s v="L"/>
    <s v="L04"/>
    <s v="Revisar metodología de forecasting de llamadas"/>
    <d v="2025-07-08T00:00:00"/>
    <s v="Pendiente"/>
    <x v="1"/>
    <m/>
    <m/>
    <m/>
    <s v="Revisión semestral de la metodología documentada."/>
    <s v="Revisar documento de metodología;Validar parámetros OET;Aprobar metodología"/>
    <s v="L04-03"/>
    <s v="Presionar Ctrl+Shift+E"/>
    <x v="0"/>
    <m/>
  </r>
  <r>
    <s v="T20250708-35"/>
    <s v="L"/>
    <s v="L04"/>
    <s v="Revisar metodología de forecasting de llamadas"/>
    <d v="2025-07-08T00:00:00"/>
    <s v="Completada"/>
    <x v="0"/>
    <d v="2025-07-08T00:00:00"/>
    <m/>
    <m/>
    <s v="Revisión semestral de la metodología documentada."/>
    <s v="Revisar documento de metodología;Validar parámetros OET;Aprobar metodología"/>
    <s v="L04-03"/>
    <s v="Presionar Ctrl+Shift+E"/>
    <x v="0"/>
    <n v="0"/>
  </r>
  <r>
    <s v="T20250708-36"/>
    <s v="L"/>
    <s v="L04"/>
    <s v="Revisar shrinkage de archivo Monthly report y cargarlo en capacity"/>
    <d v="2025-07-08T00:00:00"/>
    <s v="Pendiente"/>
    <x v="1"/>
    <m/>
    <s v="https://dpdhl.sharepoint.com/:f:/r/teams/CSManagement962/Shared%20Documents/General/Directorio%20COE/L4%20Capacity%20FL/2025/Monthly%20report?csf=1&amp;web=1&amp;e=MA6jfF"/>
    <m/>
    <m/>
    <m/>
    <s v="L04-04"/>
    <s v="Presionar Ctrl+Shift+E"/>
    <x v="0"/>
    <m/>
  </r>
  <r>
    <s v="T20250708-37"/>
    <s v="L"/>
    <s v="L04"/>
    <s v="Revisar cada vez que se necesite hacer un re-forecast por variaciones significativas en llamadas, shrinkage, GOS"/>
    <d v="2025-07-08T00:00:00"/>
    <s v="Pendiente"/>
    <x v="1"/>
    <m/>
    <s v="https://dpdhl.sharepoint.com/:f:/r/teams/CSManagement962/Shared%20Documents/General/Directorio%20COE/L4%20Capacity%20FL/2025/Necesidad%20de%20re-forecast?csf=1&amp;web=1&amp;e=Dhv5LU"/>
    <m/>
    <m/>
    <m/>
    <s v="L04-07"/>
    <s v="Presionar Ctrl+Shift+E"/>
    <x v="0"/>
    <m/>
  </r>
  <r>
    <s v="T20250708-38"/>
    <s v="L"/>
    <s v="L05"/>
    <s v="Calcular y analizar variación mensual de llamadas"/>
    <d v="2025-07-08T00:00:00"/>
    <s v="Pendiente"/>
    <x v="1"/>
    <m/>
    <s v="https://dpdhl.sharepoint.com/:x:/r/teams/CSManagement962/Shared%20Documents/General/Directorio%20COE/L5%20Forecast%20accuracy%20FL/2025/PA%20Monthly%20Forecast%20Assessment%20Summary%202025.xlsx?d=w2a3a1abb459e4904bc00b4480718c25e&amp;csf=1&amp;web=1&amp;e=aoqopv"/>
    <m/>
    <s v="CSD calcula la variación. Si excede +/-10%, investiga y documenta causas con validación del Gerente."/>
    <s v="Calcular variación vs forecast;Analizar causas si &gt;10%;Documentar análisis y acciones"/>
    <s v="L05-01"/>
    <s v="Presionar Ctrl+Shift+E"/>
    <x v="0"/>
    <m/>
  </r>
  <r>
    <s v="T20250708-39"/>
    <s v="L"/>
    <s v="L05"/>
    <s v="Revisar diariamente llamadas reales vs. forecast y hacer comentarios cuando la variación es de +/- 10%"/>
    <d v="2025-07-08T00:00:00"/>
    <s v="Vencida"/>
    <x v="1"/>
    <m/>
    <s v="https://dpdhl.sharepoint.com/:x:/r/teams/CSManagement962/Shared%20Documents/General/Directorio%20COE/L4%20Capacity%20FL/2025/Capacity/PA%20-%20WFM%20Tool%20Frontline%202025.xlsm?d=w67e1cbbeca88499180eaf51b9eba8bb3&amp;csf=1&amp;web=1&amp;e=7MLSz6"/>
    <m/>
    <m/>
    <m/>
    <s v="L05-02"/>
    <s v="Presionar Ctrl+Shift+E"/>
    <x v="0"/>
    <m/>
  </r>
  <r>
    <s v="T20250708-40"/>
    <s v="L"/>
    <s v="L05"/>
    <s v="Realizar y guardar evidencia de re-forecast en WFM tool de acuerdo a variaciones en el volumen actual de llamadas para ajustar manpower"/>
    <d v="2025-07-08T00:00:00"/>
    <s v="Vencida"/>
    <x v="1"/>
    <m/>
    <s v="https://dpdhl.sharepoint.com/:f:/r/teams/CSManagement962/Shared%20Documents/General/Directorio%20COE/L5%20Forecast%20accuracy%20FL/2025/Evidencia%20re-forecast?csf=1&amp;web=1&amp;e=jIxJWn"/>
    <m/>
    <m/>
    <m/>
    <s v="L05-03"/>
    <s v="Presionar Ctrl+Shift+E"/>
    <x v="0"/>
    <m/>
  </r>
  <r>
    <s v="T20250708-41"/>
    <s v="L"/>
    <s v="L06"/>
    <s v="Generar forecast de chats (mensual)"/>
    <d v="2025-07-08T00:00:00"/>
    <s v="Pendiente"/>
    <x v="1"/>
    <m/>
    <s v="https://dpdhl.sharepoint.com/:x:/r/teams/CSManagement962/Shared%20Documents/General/Directorio%20COE/L6%20Capacity%20mail%20chat/PA_DHLE%20mail-chat%20WFM%20Tool.xlsm?d=w47debcb92c0248c0a729f0963c16d922&amp;csf=1&amp;web=1&amp;e=bwIziq"/>
    <m/>
    <s v="CSD genera el forecast mensual de chats según metodología."/>
    <s v="Generar forecast mensual de chats"/>
    <s v="L06-01"/>
    <s v="Presionar Ctrl+Shift+E"/>
    <x v="0"/>
    <m/>
  </r>
  <r>
    <s v="T20250708-42"/>
    <s v="L"/>
    <s v="L07"/>
    <s v="Calcular y analizar variación mensual de chats"/>
    <d v="2025-07-08T00:00:00"/>
    <s v="Pendiente"/>
    <x v="1"/>
    <m/>
    <s v="https://dpdhl.sharepoint.com/:f:/r/teams/CSManagement962/Shared%20Documents/General/Directorio%20COE/L6%20Capacity%20mail%20chat?csf=1&amp;web=1&amp;e=2joJXi"/>
    <m/>
    <s v="CSD calcula la variación. Si excede +/-10%, investiga y documenta causas con validación del Gerente."/>
    <s v="Calcular variación vs forecast;Analizar causas si &gt;10%;Documentar análisis y acciones"/>
    <s v="L07-01"/>
    <s v="Presionar Ctrl+Shift+E"/>
    <x v="0"/>
    <m/>
  </r>
  <r>
    <s v="T20250708-43"/>
    <s v="L"/>
    <s v="L08"/>
    <s v="Monitoreo en Tiempo Real (RTA) de adherencia y metricas fuera de lo normal (AHT, ACW prolongados, etc.)"/>
    <d v="2025-07-08T00:00:00"/>
    <s v="Vencida"/>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4"/>
    <s v="L"/>
    <s v="L08"/>
    <s v="Monitoreo en Tiempo Real (RTA) de adherencia y metricas fuera de lo normal (AHT, ACW prolongados, etc.)"/>
    <d v="2025-07-08T00:00:00"/>
    <s v="Vencida"/>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5"/>
    <s v="L"/>
    <s v="L09"/>
    <s v="Generar forecast de carga de trabajo BL/KAD (mensual)"/>
    <d v="2025-07-08T00:00:00"/>
    <s v="Pendiente"/>
    <x v="1"/>
    <m/>
    <s v="https://dpdhl.sharepoint.com/:x:/r/teams/CSManagement962/Shared%20Documents/General/Directorio%20COE/L9%20Capacity%20BL/2025/PA_DHLE%20BL%20WFM%20Tool.xlsm?d=w111cf45345d340f9b13cb5612f97eb16&amp;csf=1&amp;web=1&amp;e=LjS4WN"/>
    <m/>
    <s v="CSD genera forecast mensual de carga de trabajo para BL/KAD."/>
    <s v="Generar forecast BL/KAD"/>
    <s v="L09-01"/>
    <s v="Presionar Ctrl+Shift+E"/>
    <x v="0"/>
    <m/>
  </r>
  <r>
    <s v="T20250708-46"/>
    <s v="L"/>
    <s v="L09"/>
    <s v="Monitorear y analizar workload diario BL/KAD"/>
    <d v="2025-07-08T00:00:00"/>
    <s v="Vencida"/>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7"/>
    <s v="L"/>
    <s v="L09"/>
    <s v="Monitorear y analizar workload diario BL/KAD"/>
    <d v="2025-07-08T00:00:00"/>
    <s v="Vencida"/>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8"/>
    <s v="L"/>
    <s v="L09"/>
    <s v="Revisar precisión del forecast de BL/KAD"/>
    <d v="2025-07-08T00:00:00"/>
    <s v="Pendiente"/>
    <x v="1"/>
    <m/>
    <s v="https://dpdhl.sharepoint.com/:x:/r/teams/CSManagement962/Shared%20Documents/General/Directorio%20COE/L9%20Capacity%20BL/2025/CSA%20BL%20Tasks%202025.xlsx?d=w32ec743831a44361a041fe002b16478c&amp;csf=1&amp;web=1&amp;e=PDjraU"/>
    <m/>
    <m/>
    <m/>
    <s v="L09-03"/>
    <s v="Presionar Ctrl+Shift+E"/>
    <x v="0"/>
    <m/>
  </r>
  <r>
    <s v="T20250708-49"/>
    <s v="L"/>
    <s v="L09"/>
    <s v="Realizar Time &amp; Motion BL y KAD"/>
    <d v="2025-07-08T00:00:00"/>
    <s v="Pendiente"/>
    <x v="3"/>
    <m/>
    <s v="https://dpdhl.sharepoint.com/:x:/r/teams/CSManagement962/Shared%20Documents/General/Directorio%20COE/L9%20Capacity%20BL/2025/Time%20%26%20Motion%202025_06_PA.xlsm?d=wcbe5a33cb566445e92220d67ae92428c&amp;csf=1&amp;web=1&amp;e=bvivbF"/>
    <m/>
    <m/>
    <m/>
    <s v="L09-04"/>
    <s v="Presionar Ctrl+Shift+E"/>
    <x v="0"/>
    <m/>
  </r>
  <r>
    <s v="T20250708-50"/>
    <s v="L"/>
    <s v="L09"/>
    <s v="Realizar Time &amp; Motion BL y KAD"/>
    <d v="2025-07-08T00:00:00"/>
    <s v="Pendiente"/>
    <x v="1"/>
    <m/>
    <s v="https://dpdhl.sharepoint.com/:x:/r/teams/CSManagement962/Shared%20Documents/General/Directorio%20COE/L9%20Capacity%20BL/2025/Time%20%26%20Motion%202025_06_PA.xlsm?d=wcbe5a33cb566445e92220d67ae92428c&amp;csf=1&amp;web=1&amp;e=bvivbF"/>
    <m/>
    <m/>
    <m/>
    <s v="L09-04"/>
    <s v="Presionar Ctrl+Shift+E"/>
    <x v="0"/>
    <m/>
  </r>
  <r>
    <s v="T20250708-51"/>
    <s v="L"/>
    <s v="L09"/>
    <s v="Analizar Shrinkage BL/KAD"/>
    <d v="2025-07-08T00:00:00"/>
    <s v="Pendiente"/>
    <x v="1"/>
    <m/>
    <s v="https://dpdhl.sharepoint.com/:x:/r/teams/CSManagement962/Shared%20Documents/General/Directorio%20COE/L9%20Capacity%20BL/2025/PA%20-%20Shrinkage%20Calculator%202025.xlsm?d=wb3cbe9639f25489986bac96f06ee7eaa&amp;csf=1&amp;web=1&amp;e=ATvfWR"/>
    <m/>
    <m/>
    <m/>
    <s v="L09-05"/>
    <s v="Presionar Ctrl+Shift+E"/>
    <x v="0"/>
    <m/>
  </r>
  <r>
    <s v="T20250708-52"/>
    <s v="L"/>
    <s v="L09"/>
    <s v="Realizar workload KAD trimestral para balancear carteras de ser necesario"/>
    <d v="2025-07-08T00:00:00"/>
    <s v="Pendiente"/>
    <x v="3"/>
    <m/>
    <s v="https://dpdhl.sharepoint.com/:f:/r/teams/CSManagement962/Shared%20Documents/General/Directorio%20COE/L9%20Capacity%20BL/2025/Balance%20KAD%20trimestral?csf=1&amp;web=1&amp;e=jMhFJ2"/>
    <m/>
    <m/>
    <m/>
    <s v="L09-06"/>
    <s v="Presionar Ctrl+Shift+E"/>
    <x v="0"/>
    <m/>
  </r>
  <r>
    <s v="T20250708-53"/>
    <s v="L"/>
    <s v="L09"/>
    <s v="Realizar workload KAD trimestral para balancear carteras de ser necesario"/>
    <d v="2025-07-08T00:00:00"/>
    <s v="Pendiente"/>
    <x v="1"/>
    <m/>
    <s v="https://dpdhl.sharepoint.com/:f:/r/teams/CSManagement962/Shared%20Documents/General/Directorio%20COE/L9%20Capacity%20BL/2025/Balance%20KAD%20trimestral?csf=1&amp;web=1&amp;e=jMhFJ2"/>
    <m/>
    <m/>
    <m/>
    <s v="L09-06"/>
    <s v="Presionar Ctrl+Shift+E"/>
    <x v="0"/>
    <m/>
  </r>
  <r>
    <s v="T20250708-54"/>
    <s v="L"/>
    <s v="L11"/>
    <s v="Revisar y comunicar política de ausencias y vacaciones"/>
    <d v="2025-07-08T00:00:00"/>
    <s v="Completada"/>
    <x v="0"/>
    <d v="2025-07-08T00:00:00"/>
    <s v="https://app.getguru.com/card/cbeMoL9i/Poltica-de-vacaciones-asistencia-y-permisos-PA"/>
    <m/>
    <s v="Revisión anual de la política y umbrales de ausentismo."/>
    <s v="Revisar política de ausencias;Validar umbrales con CSD;Comunicar política"/>
    <s v="L11-01"/>
    <s v="Presionar Ctrl+Shift+E"/>
    <x v="0"/>
    <n v="0"/>
  </r>
  <r>
    <s v="T20250708-55"/>
    <s v="L"/>
    <s v="L11"/>
    <s v="Planificar y aprobar vacaciones anuales/semestrales"/>
    <d v="2025-07-08T00:00:00"/>
    <s v="Completada"/>
    <x v="0"/>
    <d v="2025-07-08T00:00:00"/>
    <s v="https://app.getguru.com/folders/caBo7eXi/L11-Vacaciones"/>
    <m/>
    <s v="Proceso de planificación de vacaciones para asegurar cobertura."/>
    <s v="Recolectar preferencias de vacaciones;Crear y aprobar plan de vacaciones"/>
    <s v="L11-02"/>
    <s v="Presionar Ctrl+Shift+E"/>
    <x v="0"/>
    <n v="0"/>
  </r>
  <r>
    <s v="T20250708-56"/>
    <s v="L"/>
    <s v="L11"/>
    <s v="Planificar y aprobar vacaciones anuales/semestrales"/>
    <d v="2025-07-08T00:00:00"/>
    <s v="Pendiente"/>
    <x v="1"/>
    <m/>
    <s v="https://app.getguru.com/folders/caBo7eXi/L11-Vacaciones"/>
    <m/>
    <s v="Proceso de planificación de vacaciones para asegurar cobertura."/>
    <s v="Recolectar preferencias de vacaciones;Crear y aprobar plan de vacaciones"/>
    <s v="L11-02"/>
    <s v="Presionar Ctrl+Shift+E"/>
    <x v="0"/>
    <m/>
  </r>
  <r>
    <s v="T20250708-57"/>
    <s v="L"/>
    <s v="L11"/>
    <s v="Rastrear y registrar ausencias"/>
    <d v="2025-07-08T00:00:00"/>
    <s v="Vencida"/>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8-58"/>
    <s v="L"/>
    <s v="L11"/>
    <s v="Revisar tendencia de ausencias y hacer planes de acción para corregir y guardar la evidencia"/>
    <d v="2025-07-08T00:00:00"/>
    <s v="Pendiente"/>
    <x v="2"/>
    <m/>
    <s v="https://dpdhl.sharepoint.com/:f:/r/teams/CSManagement962/Shared%20Documents/General/Directorio%20COE/L11%20Vacaciones/Vacaciones/2025?csf=1&amp;web=1&amp;e=TKXQce"/>
    <m/>
    <m/>
    <m/>
    <s v="L11-04"/>
    <s v="Presionar Ctrl+Shift+E"/>
    <x v="0"/>
    <m/>
  </r>
  <r>
    <s v="T20250708-59"/>
    <s v="L"/>
    <s v="L11"/>
    <s v="Revisar tendencia de ausencias y hacer planes de acción para corregir y guardar la evidencia"/>
    <d v="2025-07-08T00:00:00"/>
    <s v="Pendiente"/>
    <x v="3"/>
    <m/>
    <s v="https://dpdhl.sharepoint.com/:f:/r/teams/CSManagement962/Shared%20Documents/General/Directorio%20COE/L11%20Vacaciones/Vacaciones/2025?csf=1&amp;web=1&amp;e=TKXQce"/>
    <m/>
    <m/>
    <m/>
    <s v="L11-04"/>
    <s v="Presionar Ctrl+Shift+E"/>
    <x v="0"/>
    <m/>
  </r>
  <r>
    <s v="T20250708-60"/>
    <s v="L"/>
    <s v="L11"/>
    <s v="Revisar tendencia de ausencias y hacer planes de acción para corregir y guardar la evidencia"/>
    <d v="2025-07-08T00:00:00"/>
    <s v="Pendiente"/>
    <x v="1"/>
    <m/>
    <s v="https://dpdhl.sharepoint.com/:f:/r/teams/CSManagement962/Shared%20Documents/General/Directorio%20COE/L11%20Vacaciones/Vacaciones/2025?csf=1&amp;web=1&amp;e=TKXQce"/>
    <m/>
    <m/>
    <m/>
    <s v="L11-04"/>
    <s v="Presionar Ctrl+Shift+E"/>
    <x v="0"/>
    <m/>
  </r>
  <r>
    <s v="T20250708-61"/>
    <s v="L"/>
    <s v="L12"/>
    <s v="Revisar y actualizar buddy system"/>
    <d v="2025-07-08T00:00:00"/>
    <s v="Completada"/>
    <x v="0"/>
    <d v="2025-07-08T00:00:00"/>
    <s v="https://app.getguru.com/card/Ta8EeRyc/Politica-de-Buddies-L12"/>
    <m/>
    <s v="Revisión semestral del plan y actualización trimestral de la lista de buddys."/>
    <s v="Revisar plan de cobertura;Actualizar lista de buddys"/>
    <s v="L12-01"/>
    <s v="Presionar Ctrl+Shift+E"/>
    <x v="0"/>
    <n v="0"/>
  </r>
  <r>
    <s v="T20250708-62"/>
    <s v="L"/>
    <s v="L12"/>
    <s v="Revisar y actualizar buddy system"/>
    <d v="2025-07-08T00:00:00"/>
    <s v="Pendiente"/>
    <x v="3"/>
    <m/>
    <s v="https://app.getguru.com/card/Ta8EeRyc/Politica-de-Buddies-L12"/>
    <m/>
    <s v="Revisión semestral del plan y actualización trimestral de la lista de buddys."/>
    <s v="Revisar plan de cobertura;Actualizar lista de buddys"/>
    <s v="L12-01"/>
    <s v="Presionar Ctrl+Shift+E"/>
    <x v="0"/>
    <m/>
  </r>
  <r>
    <s v="T20250708-63"/>
    <s v="L"/>
    <s v="L12"/>
    <s v="Gestionar trabajo de ausentes. Apoyarse en Plan de Contingencias"/>
    <d v="2025-07-08T00:00:00"/>
    <s v="Vencida"/>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4"/>
    <s v="L"/>
    <s v="L12"/>
    <s v="Gestionar trabajo de ausentes. Apoyarse en Plan de Contingencias"/>
    <d v="2025-07-08T00:00:00"/>
    <s v="Vencida"/>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5"/>
    <s v="L"/>
    <s v="L12"/>
    <s v="Gestionar trabajo de ausentes. Apoyarse en Plan de Contingencias"/>
    <d v="2025-07-08T00:00:00"/>
    <s v="Vencida"/>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6"/>
    <s v="L"/>
    <s v="L12"/>
    <s v="Actualizar en Gema Admin/SPARK los buddies de BL/KAD de acuerdo con el plan"/>
    <d v="2025-07-08T00:00:00"/>
    <s v="Pendiente"/>
    <x v="3"/>
    <m/>
    <s v="https://gemaadmin.dhl.com/"/>
    <m/>
    <m/>
    <m/>
    <s v="L12-03"/>
    <s v="Presionar Ctrl+Shift+E"/>
    <x v="0"/>
    <m/>
  </r>
  <r>
    <s v="T20250708-67"/>
    <s v="L"/>
    <s v="L13"/>
    <s v="Revisar Plan de Contingencia y de Continuidad del Negocio (BCP)"/>
    <d v="2025-07-08T00:00:00"/>
    <s v="Completada"/>
    <x v="0"/>
    <d v="2025-07-08T00:00:00"/>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n v="0"/>
  </r>
  <r>
    <s v="T20250708-68"/>
    <s v="L"/>
    <s v="L13"/>
    <s v="Revisar Plan de Contingencia y de Continuidad del Negocio (BCP)"/>
    <d v="2025-07-08T00:00:00"/>
    <s v="Pendiente"/>
    <x v="2"/>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69"/>
    <s v="L"/>
    <s v="L13"/>
    <s v="Revisar Plan de Contingencia y de Continuidad del Negocio (BCP)"/>
    <d v="2025-07-08T00:00:00"/>
    <s v="Pendiente"/>
    <x v="3"/>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0"/>
    <s v="L"/>
    <s v="L13"/>
    <s v="Revisar Plan de Contingencia y de Continuidad del Negocio (BCP)"/>
    <d v="2025-07-08T00:00:00"/>
    <s v="Pendiente"/>
    <x v="1"/>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1"/>
    <s v="L"/>
    <s v="L13"/>
    <s v="Realizar simulacro del Plan de Contingencia y revisar que las copias físicas estén en su lugar"/>
    <d v="2025-07-08T00:00:00"/>
    <s v="Completada"/>
    <x v="0"/>
    <d v="2025-07-08T00:00:00"/>
    <m/>
    <m/>
    <s v="Pruebas semestrales de diferentes escenarios del BCP."/>
    <s v="Planificar simulacro;Ejecutar simulacro;Documentar lecciones"/>
    <s v="L13-02"/>
    <s v="Presionar Ctrl+Shift+E"/>
    <x v="0"/>
    <n v="0"/>
  </r>
  <r>
    <s v="T20250708-72"/>
    <s v="L"/>
    <s v="L13"/>
    <s v="Verificar accesibilidad del Plan de Contingencia"/>
    <d v="2025-07-08T00:00:00"/>
    <s v="Completada"/>
    <x v="0"/>
    <d v="2025-07-08T00:00:00"/>
    <s v="https://app.getguru.com/card/irAaaEoT/Plan-de-contingencia-PA"/>
    <m/>
    <s v="Verificación semestral de que el plan está accesible en todos los canales designados."/>
    <s v="Verificar en SharePoint;Verificar copias físicas"/>
    <s v="L13-03"/>
    <s v="Presionar Ctrl+Shift+E"/>
    <x v="0"/>
    <n v="0"/>
  </r>
  <r>
    <s v="T20250708-73"/>
    <s v="L"/>
    <s v="L14"/>
    <s v="Realizar auto-auditoría del proceso KAD. Se recomienda hacer controles cruzados entre distintos KAD"/>
    <d v="2025-07-08T00:00:00"/>
    <s v="Pendiente"/>
    <x v="3"/>
    <m/>
    <s v="https://app.getguru.com/folders/TB78K8pc/L14-Cartera-KAD"/>
    <m/>
    <s v="Verificación trimestral del cumplimiento del proceso KAD (formularios, aprobaciones, etc.)."/>
    <s v="Auditar activaciones del trimestre;Auditar desactivaciones del trimestre"/>
    <s v="L14-01"/>
    <s v="Presionar Ctrl+Shift+E"/>
    <x v="0"/>
    <m/>
  </r>
  <r>
    <s v="T20250708-74"/>
    <s v="L"/>
    <s v="L15"/>
    <s v="Revisar y actualizar perfiles de clientes KAD en el Master File. Se recomienda hacer controles cruzados entre distintos KAD"/>
    <d v="2025-07-08T00:00:00"/>
    <s v="Pendiente"/>
    <x v="3"/>
    <m/>
    <s v="https://app.getguru.com/card/TeApyBqc/-LIST-MASTER-FILE-L15"/>
    <m/>
    <s v="Revisión y actualización semestral de los perfiles de CADA cliente KAD."/>
    <s v="Revisar perfiles de clientes asignados;Actualizar información de contacto y SLAs"/>
    <s v="L15-01"/>
    <s v="Presionar Ctrl+Shift+E"/>
    <x v="0"/>
    <m/>
  </r>
  <r>
    <s v="T20250708-75"/>
    <s v="L"/>
    <s v="L16"/>
    <s v="Revisar CR, Eficiencia operativa, Costos de manera mensual"/>
    <d v="2025-07-08T00:00:00"/>
    <s v="Completada"/>
    <x v="0"/>
    <d v="2025-07-08T00:00:00"/>
    <s v="https://dpdhl.sharepoint.com/:f:/r/teams/CSManagement962/Shared%20Documents/General/Directorio%20COE/L4%20Capacity%20FL/2025/Contact%20Rate?csf=1&amp;web=1&amp;e=K5Ywpx"/>
    <m/>
    <m/>
    <m/>
    <s v="L16-02"/>
    <s v="Presionar Ctrl+Shift+E"/>
    <x v="0"/>
    <n v="0"/>
  </r>
  <r>
    <s v="T20250708-76"/>
    <s v="L"/>
    <s v="L17"/>
    <s v="Realizar conciliación mensual de headcount"/>
    <d v="2025-07-08T00:00:00"/>
    <s v="Completada"/>
    <x v="0"/>
    <d v="2025-07-08T00:00:00"/>
    <s v="https://dpdhl.sharepoint.com/:f:/r/teams/CSManagement962/Shared%20Documents/General/Directorio%20COE/L17%20-%20HC%20%26%20Ftes/2025?csf=1&amp;web=1&amp;e=M5SKnQ"/>
    <m/>
    <s v="Conciliación formal del headcount de CS contra reportes de HR y Finanzas."/>
    <s v="Obtener reportes HR/Finanzas;Realizar y documentar conciliación;Investigar discrepancias"/>
    <s v="L17-01"/>
    <s v="Presionar Ctrl+Shift+E"/>
    <x v="0"/>
    <n v="0"/>
  </r>
  <r>
    <s v="T20250708-77"/>
    <s v="L"/>
    <s v="L18"/>
    <s v="Revisar y comunicar objetivos de generación de ingresos"/>
    <d v="2025-07-08T00:00:00"/>
    <s v="Completada"/>
    <x v="0"/>
    <d v="2025-07-08T00:00:00"/>
    <s v="https://app.getguru.com/card/TyrbBrGc/Target-mensual-Upselling-y-Lead"/>
    <m/>
    <s v="Refuerzo mensual sobre objetivos de ventas, upselling y leads."/>
    <s v="Comunicar objetivos a equipos"/>
    <s v="L18-01"/>
    <s v="Presionar Ctrl+Shift+E"/>
    <x v="0"/>
    <n v="0"/>
  </r>
  <r>
    <s v="T20250708-78"/>
    <s v="L"/>
    <s v="L18"/>
    <s v="Capacitar al equipo de FL para que sepa leer los notice boards y sus KPIs de Upselling y leads y productos que ofrecen"/>
    <d v="2025-07-08T00:00:00"/>
    <s v="Pendiente"/>
    <x v="2"/>
    <m/>
    <s v="https://app.getguru.com/card/TyrbBrGc/Target-mensual-Upselling-y-Lead"/>
    <m/>
    <m/>
    <m/>
    <s v="L18-02"/>
    <s v="Presionar Ctrl+Shift+E"/>
    <x v="0"/>
    <m/>
  </r>
  <r>
    <s v="T20250708-79"/>
    <s v="L"/>
    <s v="L19"/>
    <s v="Monitorear y reportar sobre campañas de venta activas"/>
    <d v="2025-07-08T00:00:00"/>
    <s v="Pendiente"/>
    <x v="1"/>
    <m/>
    <s v="https://app.getguru.com/folders/TXzyzzEc/L19-Campaas"/>
    <m/>
    <s v="Seguimiento mensual del desempeño de las campañas de venta en curso."/>
    <s v="Generar reporte de campaña;Comunicar resultados"/>
    <s v="L19-01"/>
    <s v="Presionar Ctrl+Shift+E"/>
    <x v="0"/>
    <m/>
  </r>
  <r>
    <s v="T20250708-80"/>
    <s v="L"/>
    <s v="L20"/>
    <s v="Realizar seguimiento de plan para transformar las cotizaciones en Bookings efectivos"/>
    <d v="2025-07-08T00:00:00"/>
    <s v="Completada"/>
    <x v="0"/>
    <d v="2025-07-08T00:00:00"/>
    <s v="https://app.getguru.com/card/caAoKegi/Procedimiento-Hunter"/>
    <m/>
    <s v="Análisis mensual de la tasa de conversión y causas de no conversión."/>
    <s v="Generar reporte de conversión;Analizar causas raíz;Definir acciones de mejora"/>
    <s v="L20-01"/>
    <s v="Presionar Ctrl+Shift+E"/>
    <x v="0"/>
    <n v="0"/>
  </r>
  <r>
    <s v="T20250708-81"/>
    <s v="L"/>
    <s v="L20"/>
    <s v="Realizar seguimiento de plan para transformar las cotizaciones en Bookings efectivos"/>
    <d v="2025-07-08T00:00:00"/>
    <s v="Pendiente"/>
    <x v="2"/>
    <m/>
    <s v="https://app.getguru.com/card/caAoKegi/Procedimiento-Hunter"/>
    <m/>
    <s v="Análisis mensual de la tasa de conversión y causas de no conversión."/>
    <s v="Generar reporte de conversión;Analizar causas raíz;Definir acciones de mejora"/>
    <s v="L20-01"/>
    <s v="Presionar Ctrl+Shift+E"/>
    <x v="0"/>
    <m/>
  </r>
  <r>
    <s v="T20250708-82"/>
    <s v="L"/>
    <s v="L20"/>
    <s v="Realizar seguimiento de plan para transformar las cotizaciones en Bookings efectivos"/>
    <d v="2025-07-08T00:00:00"/>
    <s v="Pendiente"/>
    <x v="1"/>
    <m/>
    <s v="https://app.getguru.com/card/caAoKegi/Procedimiento-Hunter"/>
    <m/>
    <s v="Análisis mensual de la tasa de conversión y causas de no conversión."/>
    <s v="Generar reporte de conversión;Analizar causas raíz;Definir acciones de mejora"/>
    <s v="L20-01"/>
    <s v="Presionar Ctrl+Shift+E"/>
    <x v="0"/>
    <m/>
  </r>
  <r>
    <s v="T20250708-83"/>
    <s v="L"/>
    <s v="L21"/>
    <s v="Monitorear y coachear sobre oferta de Servicios Opcionales"/>
    <d v="2025-07-08T00:00:00"/>
    <s v="Pendiente"/>
    <x v="2"/>
    <m/>
    <s v="https://app.getguru.com/folders/cjRrgdBi/Servicios-Opcionales-de-Ventas"/>
    <m/>
    <s v="Monitoreo semanal (calidad) para asegurar que el personal ofrece OSS y proveer coaching."/>
    <s v="Escuchar llamadas/revisar chats;Dar feedback sobre oferta de OSS"/>
    <s v="L21-01"/>
    <s v="Presionar Ctrl+Shift+E"/>
    <x v="0"/>
    <m/>
  </r>
  <r>
    <s v="T20250708-84"/>
    <s v="L"/>
    <s v="L22"/>
    <s v="Realizar revisión trimestral del SLA CS-Comercial (plan de Leads/otros)"/>
    <d v="2025-07-08T00:00:00"/>
    <s v="Completada"/>
    <x v="0"/>
    <d v="2025-07-08T00:00:00"/>
    <s v="https://app.getguru.com/card/TLx8MaEc/SLA-COMERCIAL-CS-SALES-LEADS-"/>
    <m/>
    <s v="Reunión formal trimestral para revisar progreso del Plan/SLA con Comercial. Basado en plan de generación de Leads"/>
    <s v="Preparar reporte de progreso;Liderar reunión con Comercial;Documentar minuta y acciones"/>
    <s v="L22-01"/>
    <s v="Presionar Ctrl+Shift+E"/>
    <x v="0"/>
    <n v="0"/>
  </r>
  <r>
    <s v="T20250708-85"/>
    <s v="L"/>
    <s v="L22"/>
    <s v="Hacer seguimiento mensual del plan de generación de revenue"/>
    <d v="2025-07-08T00:00:00"/>
    <s v="Completada"/>
    <x v="0"/>
    <d v="2025-07-08T00:00:00"/>
    <s v="https://dpdhl.sharepoint.com/:f:/r/teams/CSManagement962/Shared%20Documents/General/Directorio%20COE/L22%20-%20Revenue%20generation/2025?csf=1&amp;web=1&amp;e=4JUXeP"/>
    <m/>
    <m/>
    <m/>
    <s v="L22-02"/>
    <s v="Presionar Ctrl+Shift+E"/>
    <x v="0"/>
    <n v="0"/>
  </r>
  <r>
    <s v="T20250708-86"/>
    <s v="M"/>
    <s v="M01"/>
    <s v="M01.1: Gestionar análisis de causa raíz (RCA) de Traces, Claims y Complaints"/>
    <d v="2025-07-08T00:00:00"/>
    <s v="Completada"/>
    <x v="0"/>
    <d v="2025-07-08T00:00:00"/>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n v="0"/>
  </r>
  <r>
    <s v="T20250708-87"/>
    <s v="M"/>
    <s v="M01"/>
    <s v="M01.1: Gestionar análisis de causa raíz (RCA) de Traces, Claims y Complaints"/>
    <d v="2025-07-08T00:00:00"/>
    <s v="Pendiente"/>
    <x v="3"/>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8"/>
    <s v="M"/>
    <s v="M01"/>
    <s v="M01.1: Gestionar análisis de causa raíz (RCA) de Traces, Claims y Complaints"/>
    <d v="2025-07-08T00:00:00"/>
    <s v="Pendiente"/>
    <x v="1"/>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9"/>
    <s v="M"/>
    <s v="M01"/>
    <s v="Armar presentaciones para el SMT en base a análisis del RCA para resolver principales oportunidades de aperturas de casos a nivel local"/>
    <d v="2025-07-08T00:00:00"/>
    <s v="Completada"/>
    <x v="0"/>
    <d v="2025-07-08T00:00:00"/>
    <s v="https://dpdhl.sharepoint.com/:f:/r/teams/CSManagement962/Shared%20Documents/General/Directorio%20COE/M1/2025?csf=1&amp;web=1&amp;e=2h1eFv"/>
    <m/>
    <m/>
    <m/>
    <s v="M01-02"/>
    <s v="Presionar Ctrl+Shift+E"/>
    <x v="0"/>
    <n v="0"/>
  </r>
  <r>
    <s v="T20250708-90"/>
    <s v="M"/>
    <s v="M01"/>
    <s v="Documentar planes de acción, seguimiento y evidencia de ejecución, con responsables, fechas y evolución en el tiempo y acciones correctivas."/>
    <d v="2025-07-08T00:00:00"/>
    <s v="Completada"/>
    <x v="0"/>
    <d v="2025-07-08T00:00:00"/>
    <s v="https://dpdhl.sharepoint.com/:f:/r/teams/CSManagement962/Shared%20Documents/General/Directorio%20COE/M1/2025/Evidencia?csf=1&amp;web=1&amp;e=1p8UFG"/>
    <m/>
    <m/>
    <m/>
    <s v="M01-03"/>
    <s v="Presionar Ctrl+Shift+E"/>
    <x v="0"/>
    <n v="0"/>
  </r>
  <r>
    <s v="T20250708-91"/>
    <s v="M"/>
    <s v="M01"/>
    <s v="Documentar planes de acción, seguimiento y evidencia de ejecución, con responsables, fechas y evolución en el tiempo y acciones correctivas."/>
    <d v="2025-07-08T00:00:00"/>
    <s v="Pendiente"/>
    <x v="3"/>
    <m/>
    <s v="https://dpdhl.sharepoint.com/:f:/r/teams/CSManagement962/Shared%20Documents/General/Directorio%20COE/M1/2025/Evidencia?csf=1&amp;web=1&amp;e=1p8UFG"/>
    <m/>
    <m/>
    <m/>
    <s v="M01-03"/>
    <s v="Presionar Ctrl+Shift+E"/>
    <x v="0"/>
    <m/>
  </r>
  <r>
    <s v="T20250708-92"/>
    <s v="M"/>
    <s v="M01"/>
    <s v="Realizar análisis main offenders y enviarlo a los países que nos impactan en nuestros casos de país, con un plan de acción y seguimiento"/>
    <d v="2025-07-08T00:00:00"/>
    <s v="Completada"/>
    <x v="0"/>
    <d v="2025-07-08T00:00:00"/>
    <s v="https://dpdhl.sharepoint.com/:f:/r/teams/CSManagement962/Shared%20Documents/General/Directorio%20COE/M1/2025/Main%20offenders?csf=1&amp;web=1&amp;e=rkY415"/>
    <m/>
    <m/>
    <m/>
    <s v="M01-04"/>
    <s v="Presionar Ctrl+Shift+E"/>
    <x v="0"/>
    <n v="0"/>
  </r>
  <r>
    <s v="T20250708-93"/>
    <s v="M"/>
    <s v="M01"/>
    <s v="Realizar análisis main offenders y enviarlo a los países que nos impactan en nuestros casos de país, con un plan de acción y seguimiento"/>
    <d v="2025-07-08T00:00:00"/>
    <s v="Pendiente"/>
    <x v="1"/>
    <m/>
    <s v="https://dpdhl.sharepoint.com/:f:/r/teams/CSManagement962/Shared%20Documents/General/Directorio%20COE/M1/2025/Main%20offenders?csf=1&amp;web=1&amp;e=rkY415"/>
    <m/>
    <m/>
    <m/>
    <s v="M01-04"/>
    <s v="Presionar Ctrl+Shift+E"/>
    <x v="0"/>
    <m/>
  </r>
  <r>
    <s v="T20250708-94"/>
    <s v="M"/>
    <s v="M02"/>
    <s v="Armar presentación de la voz del cliente de acuerdo con análisis de VOICE"/>
    <d v="2025-07-08T00:00:00"/>
    <s v="Completada"/>
    <x v="0"/>
    <d v="2025-07-08T00:00:00"/>
    <s v="https://dpdhl.sharepoint.com/:f:/r/teams/CSManagement962/Shared%20Documents/General/Directorio%20COE/M2%20-%20VOICE%20-%20NPS?csf=1&amp;web=1&amp;e=ttdYZq"/>
    <m/>
    <m/>
    <m/>
    <s v="M02-02"/>
    <s v="Presionar Ctrl+Shift+E"/>
    <x v="0"/>
    <n v="0"/>
  </r>
  <r>
    <s v="T20250708-95"/>
    <s v="M"/>
    <s v="M03"/>
    <s v="M03.1: Utilizar reportes estándar (PPMT y otros) para medir KPIs y eficiencia"/>
    <d v="2025-07-08T00:00:00"/>
    <s v="Vencida"/>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8-96"/>
    <s v="M"/>
    <s v="M03"/>
    <s v="Revisar 2nd and 3rd escalation y hacer reporte para control de gestión"/>
    <d v="2025-07-08T00:00:00"/>
    <s v="Pendiente"/>
    <x v="3"/>
    <m/>
    <s v="https://dpdhl.sharepoint.com/:f:/r/teams/CSManagement962/Shared%20Documents/General/Directorio%20COE/M3%20-%20Reportes/2nd%20y%203rd%20escalation?csf=1&amp;web=1&amp;e=fH3eSr"/>
    <m/>
    <m/>
    <m/>
    <s v="M03-02"/>
    <s v="Presionar Ctrl+Shift+E"/>
    <x v="0"/>
    <m/>
  </r>
  <r>
    <s v="T20250708-97"/>
    <s v="M"/>
    <s v="M03"/>
    <s v="Realizar reporte casos por cerrar de BL/KAD diario"/>
    <d v="2025-07-08T00:00:00"/>
    <s v="Vencida"/>
    <x v="1"/>
    <m/>
    <s v="https://dpdhl.sharepoint.com/:f:/r/teams/CSManagement962/Shared%20Documents/General/Directorio%20COE/M3%20-%20Reportes/Casos%20x%20Cerrar?csf=1&amp;web=1&amp;e=pTiEBB"/>
    <m/>
    <m/>
    <m/>
    <s v="M03-04"/>
    <s v="Presionar Ctrl+Shift+E"/>
    <x v="0"/>
    <m/>
  </r>
  <r>
    <s v="T20250708-98"/>
    <s v="M"/>
    <s v="M03"/>
    <s v="Realizar reporte de performance diario para FL/BL y KAD"/>
    <d v="2025-07-08T00:00:00"/>
    <s v="Vencida"/>
    <x v="1"/>
    <m/>
    <s v="https://dpdhl.sharepoint.com/:f:/r/teams/CSManagement962/Shared%20Documents/General/Directorio%20COE/M3%20-%20Reportes/Daily%20Customer%20Service%20Performance%20Report?csf=1&amp;web=1&amp;e=hUsw3t"/>
    <m/>
    <m/>
    <m/>
    <s v="M03-05"/>
    <s v="Presionar Ctrl+Shift+E"/>
    <x v="0"/>
    <m/>
  </r>
  <r>
    <s v="T20250708-99"/>
    <s v="M"/>
    <s v="M03"/>
    <s v="Realizar reporte de análisis de IVR mensual"/>
    <d v="2025-07-08T00:00:00"/>
    <s v="Pendiente"/>
    <x v="1"/>
    <m/>
    <s v="https://dpdhl.sharepoint.com/:f:/r/teams/CSManagement962/Shared%20Documents/General/Directorio%20COE/M3%20-%20Reportes/IVR?csf=1&amp;web=1&amp;e=m8vXcg"/>
    <m/>
    <m/>
    <m/>
    <s v="M03-06"/>
    <s v="Presionar Ctrl+Shift+E"/>
    <x v="0"/>
    <m/>
  </r>
  <r>
    <s v="T20250708-100"/>
    <s v="M"/>
    <s v="M03"/>
    <s v="Realizar reporte de mails diario para agentes de FL/BL y KAD"/>
    <d v="2025-07-08T00:00:00"/>
    <s v="Vencida"/>
    <x v="1"/>
    <m/>
    <s v="https://dpdhl.sharepoint.com/:f:/r/teams/CSManagement962/Shared%20Documents/General/Directorio%20COE/M3%20-%20Reportes/MCT%20PA%20Report?csf=1&amp;web=1&amp;e=ObM0PZ"/>
    <m/>
    <m/>
    <m/>
    <s v="M03-08"/>
    <s v="Presionar Ctrl+Shift+E"/>
    <x v="0"/>
    <m/>
  </r>
  <r>
    <s v="T20250708-101"/>
    <s v="M"/>
    <s v="M03"/>
    <s v="Realizar reporte de Chat diario para agentes de FL/KAD"/>
    <d v="2025-07-08T00:00:00"/>
    <s v="Vencida"/>
    <x v="1"/>
    <m/>
    <s v="https://app.powerbi.com/groups/me/apps/a91e7e0a-1652-440f-8f81-79fa9459f076/reports/e7d5de1f-4e51-45de-a0b6-ee08e97b1b3a/ReportSection?ctid=cd99fef8-1cd3-4a2a-9bdf-15531181d65e&amp;experience=power-bi"/>
    <m/>
    <m/>
    <m/>
    <s v="M03-09"/>
    <s v="Presionar Ctrl+Shift+E"/>
    <x v="0"/>
    <m/>
  </r>
  <r>
    <s v="T20250708-102"/>
    <s v="M"/>
    <s v="M03"/>
    <s v="Realizar reporte de Aging diario para agentes de BL/KAD y supervisores analizan casos de mayor aging con agentes"/>
    <d v="2025-07-08T00:00:00"/>
    <s v="Vencida"/>
    <x v="3"/>
    <m/>
    <s v="https://app.powerbi.com/groups/me/apps/a91e7e0a-1652-440f-8f81-79fa9459f076/reports/3cbaff75-757e-4736-86c5-6a5a6ad7fe62/ReportSection?ctid=cd99fef8-1cd3-4a2a-9bdf-15531181d65e&amp;experience=power-bi"/>
    <m/>
    <m/>
    <m/>
    <s v="M03-10"/>
    <s v="Presionar Ctrl+Shift+E"/>
    <x v="0"/>
    <m/>
  </r>
  <r>
    <s v="T20250708-103"/>
    <s v="M"/>
    <s v="M03"/>
    <s v="Realizar reporte de Aging diario para agentes de BL/KAD y supervisores analizan casos de mayor aging con agentes"/>
    <d v="2025-07-08T00:00:00"/>
    <s v="Vencida"/>
    <x v="1"/>
    <m/>
    <s v="https://app.powerbi.com/groups/me/apps/a91e7e0a-1652-440f-8f81-79fa9459f076/reports/3cbaff75-757e-4736-86c5-6a5a6ad7fe62/ReportSection?ctid=cd99fef8-1cd3-4a2a-9bdf-15531181d65e&amp;experience=power-bi"/>
    <m/>
    <m/>
    <m/>
    <s v="M03-10"/>
    <s v="Presionar Ctrl+Shift+E"/>
    <x v="0"/>
    <m/>
  </r>
  <r>
    <s v="T20250708-104"/>
    <s v="M"/>
    <s v="M03"/>
    <s v="Realizar reporte de uso PPMT para todos mensualmente"/>
    <d v="2025-07-08T00:00:00"/>
    <s v="Pendiente"/>
    <x v="1"/>
    <m/>
    <s v="https://dpdhl.sharepoint.com/:f:/r/teams/CSManagement962/Shared%20Documents/General/Directorio%20COE/M3%20-%20Reportes/PPMT?csf=1&amp;web=1&amp;e=BO2pEW"/>
    <m/>
    <m/>
    <m/>
    <s v="M03-11"/>
    <s v="Presionar Ctrl+Shift+E"/>
    <x v="0"/>
    <m/>
  </r>
  <r>
    <s v="T20250708-105"/>
    <s v="M"/>
    <s v="M03"/>
    <s v="Realizar reporte de Scorecard mensual desde PPMT"/>
    <d v="2025-07-08T00:00:00"/>
    <s v="Pendiente"/>
    <x v="1"/>
    <m/>
    <s v="https://dpdhl.sharepoint.com/:x:/r/teams/CSManagement962/Shared%20Documents/General/Directorio%20COE/P1%20-%20Incentivos%20CS/2025/scorecard-summary-export%202025.xlsx?d=w6e19525b55f6457d918d69c357d79c10&amp;csf=1&amp;web=1&amp;e=bwsk1M"/>
    <m/>
    <m/>
    <m/>
    <s v="M03-13"/>
    <s v="Presionar Ctrl+Shift+E"/>
    <x v="0"/>
    <m/>
  </r>
  <r>
    <s v="T20250708-106"/>
    <s v="M"/>
    <s v="M04"/>
    <s v="M04.1: Asegurar que los datos recolectados sean relevantes, precisos, utilizados de forma correcta y comprendidos"/>
    <d v="2025-07-08T00:00:00"/>
    <s v="Pendiente"/>
    <x v="1"/>
    <m/>
    <s v="https://dpdhl.sharepoint.com/:f:/r/teams/CSManagement962/Shared%20Documents/General/Directorio%20COE/M4%20-%20Consistencia%20datos?csf=1&amp;web=1&amp;e=S6x70T"/>
    <m/>
    <s v="CSD realiza una auditoría trimestral de los procesos de recolección de datos para asegurar su integridad y relevancia."/>
    <s v="Mapear fuentes de datos;Validar precisión de una muestra de datos"/>
    <s v="M04-01"/>
    <s v="Presionar Ctrl+Shift+E"/>
    <x v="0"/>
    <m/>
  </r>
  <r>
    <s v="T20250708-107"/>
    <s v="M"/>
    <s v="M05"/>
    <s v="M05.1: Revisar diariamente resultados de desempeño e implementar acciones correctivas y documentar evidencia de seguimiento"/>
    <d v="2025-07-08T00:00:00"/>
    <s v="Vencida"/>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8"/>
    <s v="M"/>
    <s v="M05"/>
    <s v="M05.1: Revisar diariamente resultados de desempeño e implementar acciones correctivas y documentar evidencia de seguimiento"/>
    <d v="2025-07-08T00:00:00"/>
    <s v="Vencida"/>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9"/>
    <s v="M"/>
    <s v="M06"/>
    <s v="M06.1: Rastrear, analizar y generar tendencias de resultados de QM"/>
    <d v="2025-07-08T00:00:00"/>
    <s v="Pendiente"/>
    <x v="1"/>
    <m/>
    <s v="https://dpdhl.sharepoint.com/:f:/r/teams/CSManagement962/Shared%20Documents/General/Directorio%20COE/M6%20-%20seguimiento%20monitoreos/2025?csf=1&amp;web=1&amp;e=tJyoXG"/>
    <m/>
    <s v="CSD genera y analiza mensualmente los reportes de tendencias de Calidad para identificar fortalezas y debilidades a nivel departamental."/>
    <s v="Generar reporte de tendencias de QM;Analizar resultados;Presentar a Gerencia"/>
    <s v="M06-01"/>
    <s v="Presionar Ctrl+Shift+E"/>
    <x v="0"/>
    <m/>
  </r>
  <r>
    <s v="T20250708-110"/>
    <s v="M"/>
    <s v="M06"/>
    <s v="Determinar capacitaciones, feedback o coaching, charlas en PDs o reuniones de equipo derivadas de oportunidades en los monitoreos de calidad"/>
    <d v="2025-07-08T00:00:00"/>
    <s v="Completada"/>
    <x v="0"/>
    <d v="2025-07-08T00:00:00"/>
    <s v="https://app.getguru.com/folders/c9b4xoqi/M6-anlisis-monitoreos"/>
    <m/>
    <m/>
    <m/>
    <s v="M06-02"/>
    <s v="Presionar Ctrl+Shift+E"/>
    <x v="0"/>
    <n v="0"/>
  </r>
  <r>
    <s v="T20250708-111"/>
    <s v="M"/>
    <s v="M06"/>
    <s v="Determinar capacitaciones, feedback o coaching, charlas en PDs o reuniones de equipo derivadas de oportunidades en los monitoreos de calidad"/>
    <d v="2025-07-08T00:00:00"/>
    <s v="Pendiente"/>
    <x v="2"/>
    <m/>
    <s v="https://app.getguru.com/folders/c9b4xoqi/M6-anlisis-monitoreos"/>
    <m/>
    <m/>
    <m/>
    <s v="M06-02"/>
    <s v="Presionar Ctrl+Shift+E"/>
    <x v="0"/>
    <m/>
  </r>
  <r>
    <s v="T20250708-112"/>
    <s v="M"/>
    <s v="M06"/>
    <s v="Determinar capacitaciones, feedback o coaching, charlas en PDs o reuniones de equipo derivadas de oportunidades en los monitoreos de calidad"/>
    <d v="2025-07-08T00:00:00"/>
    <s v="Pendiente"/>
    <x v="3"/>
    <m/>
    <s v="https://app.getguru.com/folders/c9b4xoqi/M6-anlisis-monitoreos"/>
    <m/>
    <m/>
    <m/>
    <s v="M06-02"/>
    <s v="Presionar Ctrl+Shift+E"/>
    <x v="0"/>
    <m/>
  </r>
  <r>
    <s v="T20250708-113"/>
    <s v="M"/>
    <s v="M06"/>
    <s v="Documentar evidencia de entrenamientos derivadas de oportunidades en los monitoreos de calidad"/>
    <d v="2025-07-08T00:00:00"/>
    <s v="Pendiente"/>
    <x v="2"/>
    <m/>
    <s v="https://dpdhl.sharepoint.com/:f:/r/teams/CSManagement962/Shared%20Documents/General/Directorio%20COE/P4%20-%20Roadmap/2025/Evidencia?csf=1&amp;web=1&amp;e=yBEhTo"/>
    <m/>
    <m/>
    <m/>
    <s v="M06-03"/>
    <s v="Presionar Ctrl+Shift+E"/>
    <x v="0"/>
    <m/>
  </r>
  <r>
    <s v="T20250708-114"/>
    <s v="M"/>
    <s v="M06"/>
    <s v="Documentar evidencia de entrenamientos derivadas de oportunidades en los monitoreos de calidad"/>
    <d v="2025-07-08T00:00:00"/>
    <s v="Pendiente"/>
    <x v="3"/>
    <m/>
    <s v="https://dpdhl.sharepoint.com/:f:/r/teams/CSManagement962/Shared%20Documents/General/Directorio%20COE/P4%20-%20Roadmap/2025/Evidencia?csf=1&amp;web=1&amp;e=yBEhTo"/>
    <m/>
    <m/>
    <m/>
    <s v="M06-03"/>
    <s v="Presionar Ctrl+Shift+E"/>
    <x v="0"/>
    <m/>
  </r>
  <r>
    <s v="T20250708-115"/>
    <s v="M"/>
    <s v="M06"/>
    <s v="Documentar evidencia de entrenamientos derivadas de oportunidades en los monitoreos de calidad"/>
    <d v="2025-07-08T00:00:00"/>
    <s v="Pendiente"/>
    <x v="1"/>
    <m/>
    <s v="https://dpdhl.sharepoint.com/:f:/r/teams/CSManagement962/Shared%20Documents/General/Directorio%20COE/P4%20-%20Roadmap/2025/Evidencia?csf=1&amp;web=1&amp;e=yBEhTo"/>
    <m/>
    <m/>
    <m/>
    <s v="M06-03"/>
    <s v="Presionar Ctrl+Shift+E"/>
    <x v="0"/>
    <m/>
  </r>
  <r>
    <s v="T20250708-116"/>
    <s v="M"/>
    <s v="M07"/>
    <s v="M07.1: Analizar resultados Programa de Evaluación de Calidad Independiente (Mystery Shopper)"/>
    <d v="2025-07-08T00:00:00"/>
    <s v="Pendiente"/>
    <x v="1"/>
    <m/>
    <s v="https://dpdhl.sharepoint.com/:f:/r/teams/CSManagement962/Shared%20Documents/General/Directorio%20COE/M7%20-%20Mystery%20Shopper?csf=1&amp;web=1&amp;e=q3WY5n"/>
    <m/>
    <s v="CSD analiza resultados de la ejecución trimestral del programa de Mystery Shopper, ya sea con un proveedor externo o un equipo interno independiente."/>
    <s v="Coordinar ejecución de Mystery Shopper;Recibir y analizar resultados;Compartir con Supervisores"/>
    <s v="M07-01"/>
    <s v="Presionar Ctrl+Shift+E"/>
    <x v="0"/>
    <m/>
  </r>
  <r>
    <s v="T20250708-117"/>
    <s v="M"/>
    <s v="M07"/>
    <s v="Compartir resultados Mystery Shopper"/>
    <d v="2025-07-08T00:00:00"/>
    <s v="Pendiente"/>
    <x v="1"/>
    <m/>
    <s v="https://app.powerbi.com/groups/me/apps/a91e7e0a-1652-440f-8f81-79fa9459f076/reports/d77cde04-8a10-48a7-92d7-d7413fd3b367/00707e2f9dc3cd968894?ctid=cd99fef8-1cd3-4a2a-9bdf-15531181d65e&amp;experience=power-bi"/>
    <m/>
    <m/>
    <m/>
    <s v="M07-02"/>
    <s v="Presionar Ctrl+Shift+E"/>
    <x v="0"/>
    <m/>
  </r>
  <r>
    <s v="T20250708-118"/>
    <s v="M"/>
    <s v="M08"/>
    <s v="M08.1: Evaluar y analizar trimestralmente resultados de IMSP vs Monitoreos propios"/>
    <d v="2025-07-08T00:00:00"/>
    <s v="Pendiente"/>
    <x v="1"/>
    <m/>
    <s v="https://dpdhl.sharepoint.com/:f:/r/teams/CSManagement962/Shared%20Documents/General/Directorio%20COE/M8%20-%20Analisis%20MS-monitoreos?csf=1&amp;web=1&amp;e=6i8MG0"/>
    <m/>
    <s v="CSD o responsable designado analiza los resultados trimestrales del programa de auto-monitoreo del personal (IMSP) si está implementado."/>
    <s v="Recopilar y analizar datos de IMSP;Generar reporte de resultados"/>
    <s v="M08-01"/>
    <s v="Presionar Ctrl+Shift+E"/>
    <x v="0"/>
    <m/>
  </r>
  <r>
    <s v="T20250708-119"/>
    <s v="P"/>
    <s v="P01"/>
    <s v="Documentar y comunicar programa SMART de incentivos y reconocimiento"/>
    <d v="2025-07-08T00:00:00"/>
    <s v="Completada"/>
    <x v="0"/>
    <d v="2025-07-08T00:00:00"/>
    <s v="https://app.getguru.com/folders/ikdoLXeT/P1"/>
    <m/>
    <s v="Revisar y comunicar el programa de reconocimiento, asegurando que los criterios son SMART y conocidos por todos."/>
    <s v="Revisar criterios del programa;Comunicar programa en reunión departamental;Publicar ganadores"/>
    <s v="P01-01"/>
    <s v="Presionar Ctrl+Shift+E"/>
    <x v="0"/>
    <n v="0"/>
  </r>
  <r>
    <s v="T20250708-120"/>
    <s v="P"/>
    <s v="P01"/>
    <s v="Generar y actualizar calculadora para facilitar comprensión del scorecard para los agentes"/>
    <d v="2025-07-08T00:00:00"/>
    <s v="Pendiente"/>
    <x v="1"/>
    <m/>
    <s v="https://dpdhl.sharepoint.com/:f:/r/teams/CSManagement962/Shared%20Documents/General/Directorio%20COE/P1%20-%20Incentivos%20CS/2025/Calculo%20comisiones?csf=1&amp;web=1&amp;e=Q9HYWo"/>
    <m/>
    <m/>
    <m/>
    <s v="P01-02"/>
    <s v="Presionar Ctrl+Shift+E"/>
    <x v="0"/>
    <m/>
  </r>
  <r>
    <s v="T20250708-121"/>
    <s v="P"/>
    <s v="P01"/>
    <s v="Hacer cálculos de incentivos mensuales y comunicarlos a los agentes"/>
    <d v="2025-07-08T00:00:00"/>
    <s v="Completada"/>
    <x v="0"/>
    <d v="2025-07-08T00:00:00"/>
    <s v="https://dpdhl.sharepoint.com/:f:/r/teams/CSManagement962/Shared%20Documents/General/Directorio%20COE/P1%20-%20Incentivos%20CS/2025?csf=1&amp;web=1&amp;e=jBZOOK"/>
    <m/>
    <m/>
    <m/>
    <s v="P01-03"/>
    <s v="Presionar Ctrl+Shift+E"/>
    <x v="0"/>
    <n v="0"/>
  </r>
  <r>
    <s v="T20250708-122"/>
    <s v="P"/>
    <s v="P01"/>
    <s v="Hacer cálculos de incentivos mensuales y comunicarlos a los agentes"/>
    <d v="2025-07-08T00:00:00"/>
    <s v="Pendiente"/>
    <x v="2"/>
    <m/>
    <s v="https://dpdhl.sharepoint.com/:f:/r/teams/CSManagement962/Shared%20Documents/General/Directorio%20COE/P1%20-%20Incentivos%20CS/2025?csf=1&amp;web=1&amp;e=jBZOOK"/>
    <m/>
    <m/>
    <m/>
    <s v="P01-03"/>
    <s v="Presionar Ctrl+Shift+E"/>
    <x v="0"/>
    <m/>
  </r>
  <r>
    <s v="T20250708-123"/>
    <s v="P"/>
    <s v="P01"/>
    <s v="Hacer cálculos de incentivos mensuales y comunicarlos a los agentes"/>
    <d v="2025-07-08T00:00:00"/>
    <s v="Pendiente"/>
    <x v="3"/>
    <m/>
    <s v="https://dpdhl.sharepoint.com/:f:/r/teams/CSManagement962/Shared%20Documents/General/Directorio%20COE/P1%20-%20Incentivos%20CS/2025?csf=1&amp;web=1&amp;e=jBZOOK"/>
    <m/>
    <m/>
    <m/>
    <s v="P01-03"/>
    <s v="Presionar Ctrl+Shift+E"/>
    <x v="0"/>
    <m/>
  </r>
  <r>
    <s v="T20250708-124"/>
    <s v="P"/>
    <s v="P01"/>
    <s v="Hacer cálculos de incentivos mensuales y comunicarlos a los agentes"/>
    <d v="2025-07-08T00:00:00"/>
    <s v="Pendiente"/>
    <x v="1"/>
    <m/>
    <s v="https://dpdhl.sharepoint.com/:f:/r/teams/CSManagement962/Shared%20Documents/General/Directorio%20COE/P1%20-%20Incentivos%20CS/2025?csf=1&amp;web=1&amp;e=jBZOOK"/>
    <m/>
    <m/>
    <m/>
    <s v="P01-03"/>
    <s v="Presionar Ctrl+Shift+E"/>
    <x v="0"/>
    <m/>
  </r>
  <r>
    <s v="T20250708-125"/>
    <s v="P"/>
    <s v="P02"/>
    <s v="Implementar sistema de reconocimiento para top performers"/>
    <d v="2025-07-08T00:00:00"/>
    <s v="Completada"/>
    <x v="0"/>
    <d v="2025-07-08T00:00:00"/>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n v="0"/>
  </r>
  <r>
    <s v="T20250708-126"/>
    <s v="P"/>
    <s v="P02"/>
    <s v="Implementar sistema de reconocimiento para top performers"/>
    <d v="2025-07-08T00:00:00"/>
    <s v="Pendiente"/>
    <x v="2"/>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7"/>
    <s v="P"/>
    <s v="P02"/>
    <s v="Implementar sistema de reconocimiento para top performers"/>
    <d v="2025-07-08T00:00:00"/>
    <s v="Pendiente"/>
    <x v="3"/>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8"/>
    <s v="P"/>
    <s v="P02"/>
    <s v="Implementar sistema de reconocimiento para top performers"/>
    <d v="2025-07-08T00:00:00"/>
    <s v="Pendiente"/>
    <x v="1"/>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9"/>
    <s v="P"/>
    <s v="P04"/>
    <s v="Establecer y mantener roadmap de capacitación estructurado"/>
    <d v="2025-07-08T00:00:00"/>
    <s v="Completada"/>
    <x v="0"/>
    <d v="2025-07-08T00:00:00"/>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n v="0"/>
  </r>
  <r>
    <s v="T20250708-130"/>
    <s v="P"/>
    <s v="P04"/>
    <s v="Establecer y mantener roadmap de capacitación estructurado"/>
    <d v="2025-07-08T00:00:00"/>
    <s v="Pendiente"/>
    <x v="1"/>
    <m/>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m/>
  </r>
  <r>
    <s v="T20250708-131"/>
    <s v="P"/>
    <s v="P04"/>
    <s v="Dar visibilidad a agentes del plan de entrenamiento (Roadmap) y asegurar su comprensión"/>
    <d v="2025-07-08T00:00:00"/>
    <s v="Pendiente"/>
    <x v="2"/>
    <m/>
    <s v="https://app.getguru.com/card/TpRMeXKc/P4-Roadmap"/>
    <m/>
    <m/>
    <m/>
    <s v="P04-02"/>
    <s v="Presionar Ctrl+Shift+E"/>
    <x v="0"/>
    <m/>
  </r>
  <r>
    <s v="T20250708-132"/>
    <s v="P"/>
    <s v="P04"/>
    <s v="Dar visibilidad a agentes del plan de entrenamiento (Roadmap) y asegurar su comprensión"/>
    <d v="2025-07-08T00:00:00"/>
    <s v="Pendiente"/>
    <x v="3"/>
    <m/>
    <s v="https://app.getguru.com/card/TpRMeXKc/P4-Roadmap"/>
    <m/>
    <m/>
    <m/>
    <s v="P04-02"/>
    <s v="Presionar Ctrl+Shift+E"/>
    <x v="0"/>
    <m/>
  </r>
  <r>
    <s v="T20250708-133"/>
    <s v="P"/>
    <s v="P04"/>
    <s v="Generar cursos de acuerdo con IDPs de agentes"/>
    <d v="2025-07-08T00:00:00"/>
    <s v="Pendiente"/>
    <x v="2"/>
    <m/>
    <m/>
    <m/>
    <m/>
    <m/>
    <s v="P04-03"/>
    <s v="Presionar Ctrl+Shift+E"/>
    <x v="0"/>
    <m/>
  </r>
  <r>
    <s v="T20250708-134"/>
    <s v="P"/>
    <s v="P04"/>
    <s v="Generar cursos de acuerdo con IDPs de agentes"/>
    <d v="2025-07-08T00:00:00"/>
    <s v="Pendiente"/>
    <x v="3"/>
    <m/>
    <m/>
    <m/>
    <m/>
    <m/>
    <s v="P04-03"/>
    <s v="Presionar Ctrl+Shift+E"/>
    <x v="0"/>
    <m/>
  </r>
  <r>
    <s v="T20250708-135"/>
    <s v="P"/>
    <s v="P04"/>
    <s v="Generar cursos de acuerdo con resultado de los Quiz, cuando se detectan oportunidades"/>
    <d v="2025-07-08T00:00:00"/>
    <s v="Pendiente"/>
    <x v="1"/>
    <m/>
    <m/>
    <m/>
    <m/>
    <m/>
    <s v="P04-04"/>
    <s v="Presionar Ctrl+Shift+E"/>
    <x v="0"/>
    <m/>
  </r>
  <r>
    <s v="T20250708-136"/>
    <s v="P"/>
    <s v="P04"/>
    <s v="Generación de cursos de acuerdo con Oportunidades observadas en los coachings"/>
    <d v="2025-07-08T00:00:00"/>
    <s v="Pendiente"/>
    <x v="2"/>
    <m/>
    <m/>
    <m/>
    <m/>
    <m/>
    <s v="P04-05"/>
    <s v="Presionar Ctrl+Shift+E"/>
    <x v="0"/>
    <m/>
  </r>
  <r>
    <s v="T20250708-137"/>
    <s v="P"/>
    <s v="P04"/>
    <s v="Generación de cursos de acuerdo con Oportunidades observadas en los coachings"/>
    <d v="2025-07-08T00:00:00"/>
    <s v="Pendiente"/>
    <x v="3"/>
    <m/>
    <m/>
    <m/>
    <m/>
    <m/>
    <s v="P04-05"/>
    <s v="Presionar Ctrl+Shift+E"/>
    <x v="0"/>
    <m/>
  </r>
  <r>
    <s v="T20250708-138"/>
    <s v="P"/>
    <s v="P04"/>
    <s v="Generación de cursos de acuerdo con Oportunidades observadas en los reportes"/>
    <d v="2025-07-08T00:00:00"/>
    <s v="Pendiente"/>
    <x v="2"/>
    <m/>
    <s v="https://app.getguru.com/card/TER9nezc/M5-FEEDBACKS-"/>
    <m/>
    <m/>
    <m/>
    <s v="P04-06"/>
    <s v="Presionar Ctrl+Shift+E"/>
    <x v="0"/>
    <m/>
  </r>
  <r>
    <s v="T20250708-139"/>
    <s v="P"/>
    <s v="P04"/>
    <s v="Generación de cursos de acuerdo con Oportunidades observadas en los reportes"/>
    <d v="2025-07-08T00:00:00"/>
    <s v="Pendiente"/>
    <x v="3"/>
    <m/>
    <s v="https://app.getguru.com/card/TER9nezc/M5-FEEDBACKS-"/>
    <m/>
    <m/>
    <m/>
    <s v="P04-06"/>
    <s v="Presionar Ctrl+Shift+E"/>
    <x v="0"/>
    <m/>
  </r>
  <r>
    <s v="T20250708-140"/>
    <s v="P"/>
    <s v="P04"/>
    <s v="Generación de cursos de acuerdo con Oportunidades observadas en los monitoreos de calidad"/>
    <d v="2025-07-08T00:00:00"/>
    <s v="Pendiente"/>
    <x v="2"/>
    <m/>
    <s v="https://app.getguru.com/folders/c9b4xoqi/M6-anlisis-monitoreos"/>
    <m/>
    <m/>
    <m/>
    <s v="P04-07"/>
    <s v="Presionar Ctrl+Shift+E"/>
    <x v="0"/>
    <m/>
  </r>
  <r>
    <s v="T20250708-141"/>
    <s v="P"/>
    <s v="P04"/>
    <s v="Generación de cursos de acuerdo con Oportunidades observadas en los monitoreos de calidad"/>
    <d v="2025-07-08T00:00:00"/>
    <s v="Pendiente"/>
    <x v="3"/>
    <m/>
    <s v="https://app.getguru.com/folders/c9b4xoqi/M6-anlisis-monitoreos"/>
    <m/>
    <m/>
    <m/>
    <s v="P04-07"/>
    <s v="Presionar Ctrl+Shift+E"/>
    <x v="0"/>
    <m/>
  </r>
  <r>
    <s v="T20250708-142"/>
    <s v="P"/>
    <s v="P05"/>
    <s v="Realizar ejercicios de verificación de habilidades y conocimiento (Quiz) y planes de acción de acuerdo con resultados"/>
    <d v="2025-07-08T00:00:00"/>
    <s v="Pendiente"/>
    <x v="1"/>
    <m/>
    <s v="https://dpdhl.sharepoint.com/:f:/r/teams/CSManagement962/Shared%20Documents/General/Directorio%20COE/P5%20Quiz?csf=1&amp;web=1&amp;e=U3iIF5"/>
    <m/>
    <s v="CSD realizan ejercicios prácticos o teóricos mensuales para validar que el conocimiento se mantiene fresco."/>
    <s v="Ejecutar ejercicio de conocimiento FL;Ejecutar ejercicio de conocimiento BL/KAD"/>
    <s v="P05-01"/>
    <s v="Presionar Ctrl+Shift+E"/>
    <x v="0"/>
    <m/>
  </r>
  <r>
    <s v="T20250708-143"/>
    <s v="P"/>
    <s v="P05"/>
    <s v="Realizar correciones de los Quiz y comunicación de resultados al equipo, definiendo nota de aprobación"/>
    <d v="2025-07-08T00:00:00"/>
    <s v="Pendiente"/>
    <x v="1"/>
    <m/>
    <s v="https://app.getguru.com/card/TARdK9Mc/Skill-Verification-Quiz"/>
    <m/>
    <m/>
    <m/>
    <s v="P05-02"/>
    <s v="Presionar Ctrl+Shift+E"/>
    <x v="0"/>
    <m/>
  </r>
  <r>
    <s v="T20250708-144"/>
    <s v="P"/>
    <s v="P07"/>
    <s v="Establecer programa de coaching formalizado para agentes de CS y ejecutarlo mensualmente"/>
    <d v="2025-07-08T00:00:00"/>
    <s v="Completada"/>
    <x v="0"/>
    <d v="2025-07-08T00:00:00"/>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n v="0"/>
  </r>
  <r>
    <s v="T20250708-145"/>
    <s v="P"/>
    <s v="P07"/>
    <s v="Establecer programa de coaching formalizado para agentes de CS y ejecutarlo mensualmente"/>
    <d v="2025-07-08T00:00:00"/>
    <s v="Pendiente"/>
    <x v="2"/>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6"/>
    <s v="P"/>
    <s v="P07"/>
    <s v="Establecer programa de coaching formalizado para agentes de CS y ejecutarlo mensualmente"/>
    <d v="2025-07-08T00:00:00"/>
    <s v="Pendiente"/>
    <x v="3"/>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7"/>
    <s v="P"/>
    <s v="P07"/>
    <s v="Establecer programa de coaching formalizado para agentes de CS y ejecutarlo mensualmente"/>
    <d v="2025-07-08T00:00:00"/>
    <s v="Pendiente"/>
    <x v="1"/>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8"/>
    <s v="P"/>
    <s v="P07"/>
    <s v="Programar sesiones de coaching mensual para todos los agentes en períodos Non-peak"/>
    <d v="2025-07-08T00:00:00"/>
    <s v="Pendiente"/>
    <x v="1"/>
    <m/>
    <s v="http://am-node-awe.dpdhl.com/wfo/control/signout?_=1751564804324"/>
    <m/>
    <m/>
    <m/>
    <s v="P07-02"/>
    <s v="Presionar Ctrl+Shift+E"/>
    <x v="0"/>
    <m/>
  </r>
  <r>
    <s v="T20250708-149"/>
    <s v="P"/>
    <s v="P07"/>
    <s v="Aseguirar registro para dar visibilidad del coaching mensual a los agentes de cada equipo"/>
    <d v="2025-07-08T00:00:00"/>
    <s v="Pendiente"/>
    <x v="2"/>
    <m/>
    <s v="https://app.getguru.com/card/iR57EeMT/P7-Coaching-Form"/>
    <m/>
    <m/>
    <m/>
    <s v="P07-03"/>
    <s v="Presionar Ctrl+Shift+E"/>
    <x v="0"/>
    <m/>
  </r>
  <r>
    <s v="T20250708-150"/>
    <s v="P"/>
    <s v="P07"/>
    <s v="Aseguirar registro para dar visibilidad del coaching mensual a los agentes de cada equipo"/>
    <d v="2025-07-08T00:00:00"/>
    <s v="Pendiente"/>
    <x v="3"/>
    <m/>
    <s v="https://app.getguru.com/card/iR57EeMT/P7-Coaching-Form"/>
    <m/>
    <m/>
    <m/>
    <s v="P07-03"/>
    <s v="Presionar Ctrl+Shift+E"/>
    <x v="0"/>
    <m/>
  </r>
  <r>
    <s v="T20250708-151"/>
    <s v="P"/>
    <s v="P07"/>
    <s v="Aseguirar registro para dar visibilidad del coaching mensual a los agentes de cada equipo"/>
    <d v="2025-07-08T00:00:00"/>
    <s v="Pendiente"/>
    <x v="1"/>
    <m/>
    <s v="https://app.getguru.com/card/iR57EeMT/P7-Coaching-Form"/>
    <m/>
    <m/>
    <m/>
    <s v="P07-03"/>
    <s v="Presionar Ctrl+Shift+E"/>
    <x v="0"/>
    <m/>
  </r>
  <r>
    <s v="T20250708-152"/>
    <s v="P"/>
    <s v="P07"/>
    <s v="Realizar feedback inmediato a los agentes con baja performance en algún KPI según corresponda"/>
    <d v="2025-07-08T00:00:00"/>
    <s v="Vencida"/>
    <x v="2"/>
    <m/>
    <s v="https://csacademy.dhl.com/#/"/>
    <m/>
    <m/>
    <m/>
    <s v="P07-04"/>
    <s v="Presionar Ctrl+Shift+E"/>
    <x v="0"/>
    <m/>
  </r>
  <r>
    <s v="T20250708-153"/>
    <s v="P"/>
    <s v="P07"/>
    <s v="Realizar feedback inmediato a los agentes con baja performance en algún KPI según corresponda"/>
    <d v="2025-07-08T00:00:00"/>
    <s v="Vencida"/>
    <x v="3"/>
    <m/>
    <s v="https://csacademy.dhl.com/#/"/>
    <m/>
    <m/>
    <m/>
    <s v="P07-04"/>
    <s v="Presionar Ctrl+Shift+E"/>
    <x v="0"/>
    <m/>
  </r>
  <r>
    <s v="T20250708-154"/>
    <s v="P"/>
    <s v="P08"/>
    <s v="Realizar coaching mensual en formato T-GROW para cada agente"/>
    <d v="2025-07-08T00:00:00"/>
    <s v="Completada"/>
    <x v="0"/>
    <d v="2025-07-08T00:00:00"/>
    <s v="https://csacademy.dhl.com/#/"/>
    <m/>
    <s v="Supervisores se aseguran de usar el modelo T-GROW en todas sus sesiones de coaching. La tarea es la preparación y ejecución correcta."/>
    <s v="Preparar sesión de coaching usando T-GROW;Realizar y documentar sesión"/>
    <s v="P08-01"/>
    <s v="Presionar Ctrl+Shift+E"/>
    <x v="0"/>
    <n v="0"/>
  </r>
  <r>
    <s v="T20250708-155"/>
    <s v="P"/>
    <s v="P08"/>
    <s v="Realizar coaching mensual en formato T-GROW para cada agente"/>
    <d v="2025-07-08T00:00:00"/>
    <s v="Pendiente"/>
    <x v="2"/>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6"/>
    <s v="P"/>
    <s v="P08"/>
    <s v="Realizar coaching mensual en formato T-GROW para cada agente"/>
    <d v="2025-07-08T00:00:00"/>
    <s v="Pendiente"/>
    <x v="3"/>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7"/>
    <s v="P"/>
    <s v="P08"/>
    <s v="Realizar coaching mensual en formato T-GROW para cada agente"/>
    <d v="2025-07-08T00:00:00"/>
    <s v="Pendiente"/>
    <x v="1"/>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8"/>
    <s v="P"/>
    <s v="P09"/>
    <s v="Realizar ejercicios de calibración de QM trimestrales"/>
    <d v="2025-07-08T00:00:00"/>
    <s v="Completada"/>
    <x v="0"/>
    <d v="2025-07-08T00:00:00"/>
    <m/>
    <m/>
    <s v="Realizar sesiones de calibración trimestrales entre todos los roles que evalúan calidad para asegurar consistencia."/>
    <s v="Preparar interacciones a calibrar;Realizar sesión de calibración;Documentar resultados"/>
    <s v="P09-01"/>
    <s v="Presionar Ctrl+Shift+E"/>
    <x v="0"/>
    <n v="0"/>
  </r>
  <r>
    <s v="T20250708-159"/>
    <s v="P"/>
    <s v="P09"/>
    <s v="Realizar ejercicios de calibración de QM trimestrales"/>
    <d v="2025-07-08T00:00:00"/>
    <s v="Pendiente"/>
    <x v="2"/>
    <m/>
    <m/>
    <m/>
    <s v="Realizar sesiones de calibración trimestrales entre todos los roles que evalúan calidad para asegurar consistencia."/>
    <s v="Preparar interacciones a calibrar;Realizar sesión de calibración;Documentar resultados"/>
    <s v="P09-01"/>
    <s v="Presionar Ctrl+Shift+E"/>
    <x v="0"/>
    <m/>
  </r>
  <r>
    <s v="T20250708-160"/>
    <s v="P"/>
    <s v="P09"/>
    <s v="Realizar ejercicios de calibración de QM trimestrales"/>
    <d v="2025-07-08T00:00:00"/>
    <s v="Pendiente"/>
    <x v="3"/>
    <m/>
    <m/>
    <m/>
    <s v="Realizar sesiones de calibración trimestrales entre todos los roles que evalúan calidad para asegurar consistencia."/>
    <s v="Preparar interacciones a calibrar;Realizar sesión de calibración;Documentar resultados"/>
    <s v="P09-01"/>
    <s v="Presionar Ctrl+Shift+E"/>
    <x v="0"/>
    <m/>
  </r>
  <r>
    <s v="T20250708-161"/>
    <s v="P"/>
    <s v="P09"/>
    <s v="Realizar ejercicios de calibración de QM trimestrales"/>
    <d v="2025-07-08T00:00:00"/>
    <s v="Pendiente"/>
    <x v="1"/>
    <m/>
    <m/>
    <m/>
    <s v="Realizar sesiones de calibración trimestrales entre todos los roles que evalúan calidad para asegurar consistencia."/>
    <s v="Preparar interacciones a calibrar;Realizar sesión de calibración;Documentar resultados"/>
    <s v="P09-01"/>
    <s v="Presionar Ctrl+Shift+E"/>
    <x v="0"/>
    <m/>
  </r>
  <r>
    <s v="T20250708-162"/>
    <s v="P"/>
    <s v="P10"/>
    <s v="Realizar monitoreos de calidad regulares según cuota mensual para todos los agentes"/>
    <d v="2025-07-08T00:00:00"/>
    <s v="Pendiente"/>
    <x v="2"/>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3"/>
    <s v="P"/>
    <s v="P10"/>
    <s v="Realizar monitoreos de calidad regulares según cuota mensual para todos los agentes"/>
    <d v="2025-07-08T00:00:00"/>
    <s v="Pendiente"/>
    <x v="3"/>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4"/>
    <s v="P"/>
    <s v="P10"/>
    <s v="Realizar monitoreos de calidad regulares según cuota mensual para todos los agentes"/>
    <d v="2025-07-08T00:00:00"/>
    <s v="Pendiente"/>
    <x v="1"/>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5"/>
    <s v="P"/>
    <s v="P10"/>
    <s v="Asegurarse de dar feedback de las evaluaciones de calidad (monitoreos) con oportunidades de mejora y dejar los registros en el Quality form"/>
    <d v="2025-07-08T00:00:00"/>
    <s v="Pendiente"/>
    <x v="2"/>
    <m/>
    <s v="https://app.getguru.com/card/cMxE7dRi/AUDITORIAS-MENSUALES-DE-CALIDAD"/>
    <m/>
    <m/>
    <m/>
    <s v="P10-02"/>
    <s v="Presionar Ctrl+Shift+E"/>
    <x v="0"/>
    <m/>
  </r>
  <r>
    <s v="T20250708-166"/>
    <s v="P"/>
    <s v="P10"/>
    <s v="Asegurarse de dar feedback de las evaluaciones de calidad (monitoreos) con oportunidades de mejora y dejar los registros en el Quality form"/>
    <d v="2025-07-08T00:00:00"/>
    <s v="Pendiente"/>
    <x v="3"/>
    <m/>
    <s v="https://app.getguru.com/card/cMxE7dRi/AUDITORIAS-MENSUALES-DE-CALIDAD"/>
    <m/>
    <m/>
    <m/>
    <s v="P10-02"/>
    <s v="Presionar Ctrl+Shift+E"/>
    <x v="0"/>
    <m/>
  </r>
  <r>
    <s v="T20250708-167"/>
    <s v="P"/>
    <s v="P10"/>
    <s v="Asegurarse de dar feedback de las evaluaciones de calidad (monitoreos) con oportunidades de mejora y dejar los registros en el Quality form"/>
    <d v="2025-07-08T00:00:00"/>
    <s v="Pendiente"/>
    <x v="1"/>
    <m/>
    <s v="https://app.getguru.com/card/cMxE7dRi/AUDITORIAS-MENSUALES-DE-CALIDAD"/>
    <m/>
    <m/>
    <m/>
    <s v="P10-02"/>
    <s v="Presionar Ctrl+Shift+E"/>
    <x v="0"/>
    <m/>
  </r>
  <r>
    <s v="T20250708-168"/>
    <s v="P"/>
    <s v="P11"/>
    <s v="Implementar Plan de actividades de team building, motivacionales e inspiracionales y documentar evidencia"/>
    <d v="2025-07-08T00:00:00"/>
    <s v="Completada"/>
    <x v="0"/>
    <d v="2025-07-08T00:00:00"/>
    <s v="https://app.getguru.com/card/cdz8Rxei/Calendario-de-Actividades-CS-2024"/>
    <m/>
    <s v="Gerente y supervisores planifican y ejecutan al menos una actividad de team building o motivacional por mes."/>
    <s v="Planificar actividad mensual;Ejecutar y comunicar actividad"/>
    <s v="P11-01"/>
    <s v="Presionar Ctrl+Shift+E"/>
    <x v="0"/>
    <n v="0"/>
  </r>
  <r>
    <s v="T20250708-169"/>
    <s v="P"/>
    <s v="P11"/>
    <s v="Implementar Plan de actividades de team building, motivacionales e inspiracionales y documentar evidencia"/>
    <d v="2025-07-08T00:00:00"/>
    <s v="Pendiente"/>
    <x v="2"/>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0"/>
    <s v="P"/>
    <s v="P11"/>
    <s v="Implementar Plan de actividades de team building, motivacionales e inspiracionales y documentar evidencia"/>
    <d v="2025-07-08T00:00:00"/>
    <s v="Pendiente"/>
    <x v="3"/>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1"/>
    <s v="P"/>
    <s v="P12"/>
    <s v="Implementar planes de acción para mejorar resultados de EOS"/>
    <d v="2025-07-08T00:00:00"/>
    <s v="Completada"/>
    <x v="0"/>
    <d v="2025-07-08T00:00:00"/>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n v="0"/>
  </r>
  <r>
    <s v="T20250708-172"/>
    <s v="P"/>
    <s v="P12"/>
    <s v="Implementar planes de acción para mejorar resultados de EOS"/>
    <d v="2025-07-08T00:00:00"/>
    <s v="Pendiente"/>
    <x v="2"/>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3"/>
    <s v="P"/>
    <s v="P12"/>
    <s v="Implementar planes de acción para mejorar resultados de EOS"/>
    <d v="2025-07-08T00:00:00"/>
    <s v="Pendiente"/>
    <x v="3"/>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4"/>
    <s v="T"/>
    <s v="T01"/>
    <s v="T01.1: Definir y comunicar proceso de &quot;Quality Sales Lead&quot; con Comercial y revisión con equipo de FL"/>
    <d v="2025-07-08T00:00:00"/>
    <s v="Completada"/>
    <x v="0"/>
    <d v="2025-07-08T00:00:00"/>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n v="0"/>
  </r>
  <r>
    <s v="T20250708-175"/>
    <s v="T"/>
    <s v="T01"/>
    <s v="T01.1: Definir y comunicar proceso de &quot;Quality Sales Lead&quot; con Comercial y revisión con equipo de FL"/>
    <d v="2025-07-08T00:00:00"/>
    <s v="Pendiente"/>
    <x v="2"/>
    <m/>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m/>
  </r>
  <r>
    <s v="T20250708-176"/>
    <s v="T"/>
    <s v="T02"/>
    <s v="T02.1: Asegurar gestión de Remote Bookings según Global SOP"/>
    <d v="2025-07-08T00:00:00"/>
    <s v="Pendiente"/>
    <x v="3"/>
    <m/>
    <s v="https://app.getguru.com/card/TdXbBnyc/RB-PROCESS-"/>
    <m/>
    <s v="Supervisor BL realiza una auditoría mensual para verificar que el proceso de Reservas Remotas sigue el SOP Global."/>
    <s v="Auditar casos de RB;Verificar cumplimiento de SOP;Dar feedback y refuerzo"/>
    <s v="T02-01"/>
    <s v="Presionar Ctrl+Shift+E"/>
    <x v="0"/>
    <m/>
  </r>
  <r>
    <s v="T20250708-177"/>
    <s v="T"/>
    <s v="T03"/>
    <s v="T03.1: Asegurar uso correcto de sistema de booking y procedimientos globales"/>
    <d v="2025-07-08T00:00:00"/>
    <s v="Pendiente"/>
    <x v="2"/>
    <m/>
    <s v="https://app.getguru.com/card/TKx97XMc/T3-Registro-de-Bookings"/>
    <m/>
    <s v="Supervisores FL realizan una auditoría mensual para verificar que los agentes siguen correctamente el proceso estándar de toma de reservas en el sistema."/>
    <s v="Auditar reservas en sistema;Verificar uso correcto de códigos;Dar feedback y refuerzo"/>
    <s v="T03-01"/>
    <s v="Presionar Ctrl+Shift+E"/>
    <x v="0"/>
    <m/>
  </r>
  <r>
    <s v="T20250708-178"/>
    <s v="T"/>
    <s v="T05"/>
    <s v="T05.1: Asegurar uso preciso de sistema de gestión de casos (GEMA/SPARK) para traces"/>
    <d v="2025-07-08T00:00:00"/>
    <s v="Pendiente"/>
    <x v="3"/>
    <m/>
    <s v="https://app.getguru.com/card/TgE7b5Mc/POLITICAS-DE-NTP-CC-"/>
    <m/>
    <s v="Supervisor BL realiza una revisión mensual para asegurar el uso preciso del sistema en los casos de seguimiento (traces)."/>
    <s v="Auditar casos de traces;Verificar campos obligatorios;Validar consistencia"/>
    <s v="T05-01"/>
    <s v="Presionar Ctrl+Shift+E"/>
    <x v="0"/>
    <m/>
  </r>
  <r>
    <s v="T20250708-179"/>
    <s v="T"/>
    <s v="T06"/>
    <s v="T06.1: Asegurar cumplimiento de política de tiempo esperado de contacto en sistema para seguimiento de Backline (callbacks)"/>
    <d v="2025-07-08T00:00:00"/>
    <s v="Pendiente"/>
    <x v="2"/>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0"/>
    <s v="T"/>
    <s v="T06"/>
    <s v="T06.1: Asegurar cumplimiento de política de tiempo esperado de contacto en sistema para seguimiento de Backline (callbacks)"/>
    <d v="2025-07-08T00:00:00"/>
    <s v="Pendiente"/>
    <x v="3"/>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1"/>
    <s v="T"/>
    <s v="T06"/>
    <s v="Analizar performance callbaks, realizar feedbacks inmediatos a agentes de BL/KAD por fallas en el cumplimiento y documentar acciones"/>
    <d v="2025-07-08T00:00:00"/>
    <s v="Vencida"/>
    <x v="3"/>
    <m/>
    <s v="https://dpdhl.sharepoint.com/:f:/r/teams/CSManagement962/Shared%20Documents/General/Directorio%20COE/T6/FEEDBACK%20CB%202025?csf=1&amp;web=1&amp;e=QOS7Wc"/>
    <m/>
    <m/>
    <m/>
    <s v="T06-02"/>
    <s v="Presionar Ctrl+Shift+E"/>
    <x v="0"/>
    <m/>
  </r>
  <r>
    <s v="T20250708-182"/>
    <s v="T"/>
    <s v="T07"/>
    <s v="T07.1: Asegurar uso preciso de sistema de gestión de casos para Claims"/>
    <d v="2025-07-08T00:00:00"/>
    <s v="Pendiente"/>
    <x v="3"/>
    <m/>
    <s v="https://app.getguru.com/card/TgE7b5Mc/POLITICAS-DE-NTP-CC-"/>
    <m/>
    <s v="Supervisor BL verifica mensualmente el uso preciso del sistema para los casos de Reclamaciones (Claims)."/>
    <s v="Auditar casos de Claims;Verificar clasificación y SLAs"/>
    <s v="T07-01"/>
    <s v="Presionar Ctrl+Shift+E"/>
    <x v="0"/>
    <m/>
  </r>
  <r>
    <s v="T20250708-183"/>
    <s v="T"/>
    <s v="T08"/>
    <s v="T08.1: Asegurar uso preciso de sistema para Complaints y Guía de Recuperación de Servicio"/>
    <d v="2025-07-08T00:00:00"/>
    <s v="Pendiente"/>
    <x v="3"/>
    <m/>
    <s v="https://app.getguru.com/card/TgE7b5Mc/POLITICAS-DE-NTP-CC-"/>
    <m/>
    <s v="Supervisor BL verifica mensualmente el uso preciso del sistema para Quejas (Complaints) y la aplicación de la Guía de Recuperación de Servicio."/>
    <s v="Auditar casos de Complaints;Verificar aplicación de Service Recovery"/>
    <s v="T08-01"/>
    <s v="Presionar Ctrl+Shift+E"/>
    <x v="0"/>
    <m/>
  </r>
  <r>
    <s v="T20250708-184"/>
    <s v="T"/>
    <s v="T09"/>
    <s v="T09.1: Documentar y comunicar niveles de empoderamiento para resolución"/>
    <d v="2025-07-08T00:00:00"/>
    <s v="Completada"/>
    <x v="0"/>
    <d v="2025-07-08T00:00:00"/>
    <s v="https://dpdhl.sharepoint.com/:f:/r/teams/CSManagement962/Shared%20Documents/General/Directorio%20COE/T9%20-%20empoderamiento?csf=1&amp;web=1&amp;e=3VP8Cw"/>
    <m/>
    <s v="Gerente revisa y comunica anualmente los niveles de empoderamiento (ej. montos de compensación) que tiene el personal para resolver casos."/>
    <s v="Revisar matriz de empoderamiento;Actualizar si es necesario;Comunicar a todo el personal"/>
    <s v="T09-01"/>
    <s v="Presionar Ctrl+Shift+E"/>
    <x v="0"/>
    <n v="0"/>
  </r>
  <r>
    <s v="T20250708-185"/>
    <s v="T"/>
    <s v="T09"/>
    <s v="Asegurar entendimiento y aplicación de la matriz de empoderamiento por equipo FL/BL/KAD"/>
    <d v="2025-07-08T00:00:00"/>
    <s v="Pendiente"/>
    <x v="2"/>
    <m/>
    <s v="https://app.getguru.com/folders/cRj4ekai/Empowerment"/>
    <m/>
    <m/>
    <m/>
    <s v="T09-02"/>
    <s v="Presionar Ctrl+Shift+E"/>
    <x v="0"/>
    <m/>
  </r>
  <r>
    <s v="T20250708-186"/>
    <s v="T"/>
    <s v="T09"/>
    <s v="Asegurar entendimiento y aplicación de la matriz de empoderamiento por equipo FL/BL/KAD"/>
    <d v="2025-07-08T00:00:00"/>
    <s v="Pendiente"/>
    <x v="3"/>
    <m/>
    <s v="https://app.getguru.com/folders/cRj4ekai/Empowerment"/>
    <m/>
    <m/>
    <m/>
    <s v="T09-02"/>
    <s v="Presionar Ctrl+Shift+E"/>
    <x v="0"/>
    <m/>
  </r>
  <r>
    <s v="T20250708-187"/>
    <s v="T"/>
    <s v="T10"/>
    <s v="T10.1: Asegurar carga de plantillas/cartas estándar en sistema de gestión de casos (Gema/Spark)"/>
    <d v="2025-07-08T00:00:00"/>
    <s v="Pendiente"/>
    <x v="3"/>
    <m/>
    <s v="https://gemaadmin.dhl.com/"/>
    <m/>
    <s v="Supervisor verifica semestralmente que todas las plantillas de comunicación estándar están cargadas y actualizadas en el sistema."/>
    <s v="Revisar listado de plantillas;Verificar su existencia y versión en sistema"/>
    <s v="T10-01"/>
    <s v="Presionar Ctrl+Shift+E"/>
    <x v="0"/>
    <m/>
  </r>
  <r>
    <s v="T20250708-188"/>
    <s v="T"/>
    <s v="T10"/>
    <s v="Registrar cartas estándar en Gema/Spark aprobadas por los departamentos correspondientes (Marketing-Legales)."/>
    <d v="2025-07-08T00:00:00"/>
    <s v="Pendiente"/>
    <x v="3"/>
    <m/>
    <s v="https://app.getguru.com/card/io8opzpT/CARTAS-EN-GEMA-"/>
    <m/>
    <m/>
    <m/>
    <s v="T10-02"/>
    <s v="Presionar Ctrl+Shift+E"/>
    <x v="0"/>
    <m/>
  </r>
  <r>
    <s v="T20250708-189"/>
    <s v="T"/>
    <s v="T10"/>
    <s v="Monitorear uso correcto de cartas estándar en Gema/Spark"/>
    <d v="2025-07-08T00:00:00"/>
    <s v="Pendiente"/>
    <x v="3"/>
    <m/>
    <s v="https://gema.dhl.com/jsp/loginDiv.jsf?message=errors.login.sessionTimedOut&amp;shipment=3683544056~8430132653~1250109630&amp;Request=&amp;piece="/>
    <m/>
    <m/>
    <m/>
    <s v="T10-03"/>
    <s v="Presionar Ctrl+Shift+E"/>
    <x v="0"/>
    <m/>
  </r>
  <r>
    <s v="T20250708-190"/>
    <s v="T"/>
    <s v="T11"/>
    <s v="T11.1: Asegurar uso de proceso de aprobación GEMA/SPARK para pagos de compensación"/>
    <d v="2025-07-08T00:00:00"/>
    <s v="Completada"/>
    <x v="0"/>
    <d v="2025-07-08T00:00:00"/>
    <s v="https://gema.dhl.com/jsp/loginDiv.jsf?message=errors.login.sessionTimedOut&amp;shipment=3683544056~8430132653~1250109630&amp;Request=&amp;piece="/>
    <m/>
    <s v="Gerente realiza una auditoría trimestral para asegurar que todos los pagos de compensación han seguido el proceso de aprobación establecido."/>
    <s v="Muestrear pagos de compensación;Verificar firmas/aprobaciones digitales"/>
    <s v="T11-01"/>
    <s v="Presionar Ctrl+Shift+E"/>
    <x v="0"/>
    <n v="0"/>
  </r>
  <r>
    <s v="T20250708-191"/>
    <s v="T"/>
    <s v="T12"/>
    <s v="T12.1: Asegurar utilización de Herramienta de Reporteo de Cuentas Clave (KART) de acuerdo con Nomination forms. Se aconseja control cruzado entre KADs"/>
    <d v="2025-07-08T00:00:00"/>
    <s v="Pendiente"/>
    <x v="3"/>
    <m/>
    <s v="https://kart3.dhl.com/kart/auth/login"/>
    <m/>
    <s v="Supervisor BL/KAD asegura que el equipo KAD utiliza la herramienta KART para todos los reportes requeridos. Verificación mensual."/>
    <s v="Revisar reportes generados;Validar que provienen de KART"/>
    <s v="T12-01"/>
    <s v="Presionar Ctrl+Shift+E"/>
    <x v="0"/>
    <m/>
  </r>
  <r>
    <s v="T20250708-192"/>
    <s v="T"/>
    <s v="T13"/>
    <s v="T13.1: Asegurar implementación y cobertura de casos de uso del Asistente Virtual Global (GVA)"/>
    <d v="2025-07-08T00:00:00"/>
    <s v="Completada"/>
    <x v="0"/>
    <d v="2025-07-08T00:00:00"/>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n v="0"/>
  </r>
  <r>
    <s v="T20250708-193"/>
    <s v="T"/>
    <s v="T13"/>
    <s v="T13.1: Asegurar implementación y cobertura de casos de uso del Asistente Virtual Global (GVA)"/>
    <d v="2025-07-08T00:00:00"/>
    <s v="Pendiente"/>
    <x v="1"/>
    <m/>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m/>
  </r>
  <r>
    <s v="T20250708-194"/>
    <s v="T"/>
    <s v="T13"/>
    <s v="Documentar acciones de mejora basado en análisis de reportes de GVA"/>
    <d v="2025-07-08T00:00:00"/>
    <s v="Pendiente"/>
    <x v="1"/>
    <m/>
    <s v="https://dpdhl.sharepoint.com/:f:/r/teams/CSManagement962/Shared%20Documents/General/Directorio%20COE/T13-%20An%C3%A1lisis%20GVA?csf=1&amp;web=1&amp;e=yNY9Qq"/>
    <m/>
    <m/>
    <m/>
    <s v="T13-02"/>
    <s v="Presionar Ctrl+Shift+E"/>
    <x v="0"/>
    <m/>
  </r>
  <r>
    <s v="T20250708-195"/>
    <s v="T"/>
    <s v="T14"/>
    <s v="T14.1: Asegurar disponibilidad y actualización de documentación de enrutamiento de llamadas (FDS/BDC)"/>
    <d v="2025-07-08T00:00:00"/>
    <s v="Completada"/>
    <x v="0"/>
    <d v="2025-07-08T00:00:00"/>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n v="0"/>
  </r>
  <r>
    <s v="T20250708-196"/>
    <s v="T"/>
    <s v="T14"/>
    <s v="T14.1: Asegurar disponibilidad y actualización de documentación de enrutamiento de llamadas (FDS/BDC)"/>
    <d v="2025-07-08T00:00:00"/>
    <s v="Pendiente"/>
    <x v="1"/>
    <m/>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m/>
  </r>
  <r>
    <s v="T20250708-197"/>
    <s v="T"/>
    <s v="T15"/>
    <s v="T15.1: Revisar configuración IVR con máximo 3 capas y 5 opciones, y opción a agente en vivo"/>
    <d v="2025-07-08T00:00:00"/>
    <s v="Completada"/>
    <x v="0"/>
    <d v="2025-07-08T00:00:00"/>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n v="0"/>
  </r>
  <r>
    <s v="T20250708-198"/>
    <s v="T"/>
    <s v="T15"/>
    <s v="T15.1: Revisar configuración IVR con máximo 3 capas y 5 opciones, y opción a agente en vivo"/>
    <d v="2025-07-08T00:00:00"/>
    <s v="Pendiente"/>
    <x v="1"/>
    <m/>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m/>
  </r>
  <r>
    <s v="T20250708-199"/>
    <s v="T"/>
    <s v="T16"/>
    <s v="T16.1: Revisar configuración de Asistente Automático (AA) para optimizar enrutamiento y acceso a agente"/>
    <d v="2025-07-08T00:00:00"/>
    <s v="Completada"/>
    <x v="0"/>
    <d v="2025-07-08T00:00:00"/>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n v="0"/>
  </r>
  <r>
    <s v="T20250708-200"/>
    <s v="T"/>
    <s v="T16"/>
    <s v="T16.1: Revisar configuración de Asistente Automático (AA) para optimizar enrutamiento y acceso a agente"/>
    <d v="2025-07-08T00:00:00"/>
    <s v="Pendiente"/>
    <x v="1"/>
    <m/>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m/>
  </r>
  <r>
    <s v="T20250709-201"/>
    <s v="L"/>
    <s v="L03"/>
    <s v="Distribuir reportes de desempeño a los agentes para su revisión y análisis"/>
    <d v="2025-07-09T00:00:00"/>
    <s v="Pendiente"/>
    <x v="1"/>
    <m/>
    <s v="https://app.getguru.com/card/cgEbRpAi/COE-M3-M4-Daily-Reporting-CS-PA-"/>
    <m/>
    <s v="CSD genera y distribuye reportes base. Supervisores comunican y explican a equipos."/>
    <s v="Generar y enviar reporte diario de KPIs"/>
    <s v="L03-03"/>
    <s v="Presionar Ctrl+Shift+E"/>
    <x v="0"/>
    <m/>
  </r>
  <r>
    <s v="T20250709-202"/>
    <s v="L"/>
    <s v="L05"/>
    <s v="Revisar diariamente llamadas reales vs. forecast y hacer comentarios cuando la variación es de +/- 10%"/>
    <d v="2025-07-09T00:00:00"/>
    <s v="Pendiente"/>
    <x v="1"/>
    <m/>
    <s v="https://dpdhl.sharepoint.com/:x:/r/teams/CSManagement962/Shared%20Documents/General/Directorio%20COE/L4%20Capacity%20FL/2025/Capacity/PA%20-%20WFM%20Tool%20Frontline%202025.xlsm?d=w67e1cbbeca88499180eaf51b9eba8bb3&amp;csf=1&amp;web=1&amp;e=7MLSz6"/>
    <m/>
    <m/>
    <m/>
    <s v="L05-02"/>
    <s v="Presionar Ctrl+Shift+E"/>
    <x v="0"/>
    <m/>
  </r>
  <r>
    <s v="T20250709-203"/>
    <s v="L"/>
    <s v="L05"/>
    <s v="Realizar y guardar evidencia de re-forecast en WFM tool de acuerdo a variaciones en el volumen actual de llamadas para ajustar manpower"/>
    <d v="2025-07-09T00:00:00"/>
    <s v="Pendiente"/>
    <x v="1"/>
    <m/>
    <s v="https://dpdhl.sharepoint.com/:f:/r/teams/CSManagement962/Shared%20Documents/General/Directorio%20COE/L5%20Forecast%20accuracy%20FL/2025/Evidencia%20re-forecast?csf=1&amp;web=1&amp;e=jIxJWn"/>
    <m/>
    <m/>
    <m/>
    <s v="L05-03"/>
    <s v="Presionar Ctrl+Shift+E"/>
    <x v="0"/>
    <m/>
  </r>
  <r>
    <s v="T20250709-204"/>
    <s v="L"/>
    <s v="L08"/>
    <s v="Monitoreo en Tiempo Real (RTA) de adherencia y metricas fuera de lo normal (AHT, ACW prolongados, etc.)"/>
    <d v="2025-07-09T00:00:00"/>
    <s v="Pendiente"/>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5"/>
    <s v="L"/>
    <s v="L08"/>
    <s v="Monitoreo en Tiempo Real (RTA) de adherencia y metricas fuera de lo normal (AHT, ACW prolongados, etc.)"/>
    <d v="2025-07-09T00:00:00"/>
    <s v="Pendiente"/>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6"/>
    <s v="L"/>
    <s v="L09"/>
    <s v="Monitorear y analizar workload diario BL/KAD"/>
    <d v="2025-07-09T00:00:00"/>
    <s v="Pendiente"/>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7"/>
    <s v="L"/>
    <s v="L09"/>
    <s v="Monitorear y analizar workload diario BL/KAD"/>
    <d v="2025-07-09T00:00:00"/>
    <s v="Pendiente"/>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8"/>
    <s v="L"/>
    <s v="L11"/>
    <s v="Rastrear y registrar ausencias"/>
    <d v="2025-07-09T00:00:00"/>
    <s v="Pendiente"/>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9-209"/>
    <s v="L"/>
    <s v="L12"/>
    <s v="Gestionar trabajo de ausentes. Apoyarse en Plan de Contingencias"/>
    <d v="2025-07-09T00:00:00"/>
    <s v="Pendiente"/>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0"/>
    <s v="L"/>
    <s v="L12"/>
    <s v="Gestionar trabajo de ausentes. Apoyarse en Plan de Contingencias"/>
    <d v="2025-07-09T00:00:00"/>
    <s v="Pendiente"/>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1"/>
    <s v="L"/>
    <s v="L12"/>
    <s v="Gestionar trabajo de ausentes. Apoyarse en Plan de Contingencias"/>
    <d v="2025-07-09T00:00:00"/>
    <s v="Pendiente"/>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2"/>
    <s v="M"/>
    <s v="M03"/>
    <s v="M03.1: Utilizar reportes estándar (PPMT y otros) para medir KPIs y eficiencia"/>
    <d v="2025-07-09T00:00:00"/>
    <s v="Pendiente"/>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9-213"/>
    <s v="M"/>
    <s v="M03"/>
    <s v="Realizar reporte casos por cerrar de BL/KAD diario"/>
    <d v="2025-07-09T00:00:00"/>
    <s v="Pendiente"/>
    <x v="1"/>
    <m/>
    <s v="https://dpdhl.sharepoint.com/:f:/r/teams/CSManagement962/Shared%20Documents/General/Directorio%20COE/M3%20-%20Reportes/Casos%20x%20Cerrar?csf=1&amp;web=1&amp;e=pTiEBB"/>
    <m/>
    <m/>
    <m/>
    <s v="M03-04"/>
    <s v="Presionar Ctrl+Shift+E"/>
    <x v="0"/>
    <m/>
  </r>
  <r>
    <s v="T20250709-214"/>
    <s v="M"/>
    <s v="M03"/>
    <s v="Realizar reporte de performance diario para FL/BL y KAD"/>
    <d v="2025-07-09T00:00:00"/>
    <s v="Pendiente"/>
    <x v="1"/>
    <m/>
    <s v="https://dpdhl.sharepoint.com/:f:/r/teams/CSManagement962/Shared%20Documents/General/Directorio%20COE/M3%20-%20Reportes/Daily%20Customer%20Service%20Performance%20Report?csf=1&amp;web=1&amp;e=hUsw3t"/>
    <m/>
    <m/>
    <m/>
    <s v="M03-05"/>
    <s v="Presionar Ctrl+Shift+E"/>
    <x v="0"/>
    <m/>
  </r>
  <r>
    <s v="T20250709-215"/>
    <s v="M"/>
    <s v="M03"/>
    <s v="Realizar reporte de mails diario para agentes de FL/BL y KAD"/>
    <d v="2025-07-09T00:00:00"/>
    <s v="Pendiente"/>
    <x v="1"/>
    <m/>
    <s v="https://dpdhl.sharepoint.com/:f:/r/teams/CSManagement962/Shared%20Documents/General/Directorio%20COE/M3%20-%20Reportes/MCT%20PA%20Report?csf=1&amp;web=1&amp;e=ObM0PZ"/>
    <m/>
    <m/>
    <m/>
    <s v="M03-08"/>
    <s v="Presionar Ctrl+Shift+E"/>
    <x v="0"/>
    <m/>
  </r>
  <r>
    <s v="T20250709-216"/>
    <s v="M"/>
    <s v="M03"/>
    <s v="Realizar reporte de Chat diario para agentes de FL/KAD"/>
    <d v="2025-07-09T00:00:00"/>
    <s v="Pendiente"/>
    <x v="1"/>
    <m/>
    <s v="https://app.powerbi.com/groups/me/apps/a91e7e0a-1652-440f-8f81-79fa9459f076/reports/e7d5de1f-4e51-45de-a0b6-ee08e97b1b3a/ReportSection?ctid=cd99fef8-1cd3-4a2a-9bdf-15531181d65e&amp;experience=power-bi"/>
    <m/>
    <m/>
    <m/>
    <s v="M03-09"/>
    <s v="Presionar Ctrl+Shift+E"/>
    <x v="0"/>
    <m/>
  </r>
  <r>
    <s v="T20250709-217"/>
    <s v="M"/>
    <s v="M03"/>
    <s v="Realizar reporte de Aging diario para agentes de BL/KAD y supervisores analizan casos de mayor aging con agentes"/>
    <d v="2025-07-09T00:00:00"/>
    <s v="Pendiente"/>
    <x v="3"/>
    <m/>
    <s v="https://app.powerbi.com/groups/me/apps/a91e7e0a-1652-440f-8f81-79fa9459f076/reports/3cbaff75-757e-4736-86c5-6a5a6ad7fe62/ReportSection?ctid=cd99fef8-1cd3-4a2a-9bdf-15531181d65e&amp;experience=power-bi"/>
    <m/>
    <m/>
    <m/>
    <s v="M03-10"/>
    <s v="Presionar Ctrl+Shift+E"/>
    <x v="0"/>
    <m/>
  </r>
  <r>
    <s v="T20250709-218"/>
    <s v="M"/>
    <s v="M03"/>
    <s v="Realizar reporte de Aging diario para agentes de BL/KAD y supervisores analizan casos de mayor aging con agentes"/>
    <d v="2025-07-09T00:00:00"/>
    <s v="Pendiente"/>
    <x v="1"/>
    <m/>
    <s v="https://app.powerbi.com/groups/me/apps/a91e7e0a-1652-440f-8f81-79fa9459f076/reports/3cbaff75-757e-4736-86c5-6a5a6ad7fe62/ReportSection?ctid=cd99fef8-1cd3-4a2a-9bdf-15531181d65e&amp;experience=power-bi"/>
    <m/>
    <m/>
    <m/>
    <s v="M03-10"/>
    <s v="Presionar Ctrl+Shift+E"/>
    <x v="0"/>
    <m/>
  </r>
  <r>
    <s v="T20250709-219"/>
    <s v="M"/>
    <s v="M05"/>
    <s v="M05.1: Revisar diariamente resultados de desempeño e implementar acciones correctivas y documentar evidencia de seguimiento"/>
    <d v="2025-07-09T00:00:00"/>
    <s v="Pendiente"/>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0"/>
    <s v="M"/>
    <s v="M05"/>
    <s v="M05.1: Revisar diariamente resultados de desempeño e implementar acciones correctivas y documentar evidencia de seguimiento"/>
    <d v="2025-07-09T00:00:00"/>
    <s v="Pendiente"/>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1"/>
    <s v="P"/>
    <s v="P07"/>
    <s v="Realizar feedback inmediato a los agentes con baja performance en algún KPI según corresponda"/>
    <d v="2025-07-09T00:00:00"/>
    <s v="Pendiente"/>
    <x v="2"/>
    <m/>
    <s v="https://csacademy.dhl.com/#/"/>
    <m/>
    <m/>
    <m/>
    <s v="P07-04"/>
    <s v="Presionar Ctrl+Shift+E"/>
    <x v="0"/>
    <m/>
  </r>
  <r>
    <s v="T20250709-222"/>
    <s v="P"/>
    <s v="P07"/>
    <s v="Realizar feedback inmediato a los agentes con baja performance en algún KPI según corresponda"/>
    <d v="2025-07-09T00:00:00"/>
    <s v="Pendiente"/>
    <x v="3"/>
    <m/>
    <s v="https://csacademy.dhl.com/#/"/>
    <m/>
    <m/>
    <m/>
    <s v="P07-04"/>
    <s v="Presionar Ctrl+Shift+E"/>
    <x v="0"/>
    <m/>
  </r>
  <r>
    <s v="T20250709-223"/>
    <s v="T"/>
    <s v="T06"/>
    <s v="Analizar performance callbaks, realizar feedbacks inmediatos a agentes de BL/KAD por fallas en el cumplimiento y documentar acciones"/>
    <d v="2025-07-09T00:00:00"/>
    <s v="Pendiente"/>
    <x v="3"/>
    <m/>
    <s v="https://dpdhl.sharepoint.com/:f:/r/teams/CSManagement962/Shared%20Documents/General/Directorio%20COE/T6/FEEDBACK%20CB%202025?csf=1&amp;web=1&amp;e=QOS7Wc"/>
    <m/>
    <m/>
    <m/>
    <s v="T06-02"/>
    <s v="Presionar Ctrl+Shift+E"/>
    <x v="0"/>
    <m/>
  </r>
  <r>
    <s v="T20241101-1"/>
    <s v="L"/>
    <m/>
    <m/>
    <m/>
    <m/>
    <x v="4"/>
    <m/>
    <m/>
    <m/>
    <m/>
    <m/>
    <m/>
    <m/>
    <x v="0"/>
    <m/>
  </r>
  <r>
    <s v="T20250221-1"/>
    <s v="L"/>
    <m/>
    <m/>
    <m/>
    <m/>
    <x v="4"/>
    <m/>
    <m/>
    <m/>
    <m/>
    <m/>
    <m/>
    <m/>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
  <r>
    <s v="T20250708-2"/>
    <x v="0"/>
    <s v="L01"/>
    <s v="Definir y mantener actualizado el CSE Scorecard"/>
    <x v="0"/>
    <x v="0"/>
    <x v="0"/>
    <d v="2025-07-08T00:00:00"/>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n v="0"/>
  </r>
  <r>
    <s v="T20250708-3"/>
    <x v="0"/>
    <s v="L01"/>
    <s v="Definir y mantener actualizado el CSE Scorecard"/>
    <x v="0"/>
    <x v="1"/>
    <x v="1"/>
    <m/>
    <s v="https://dpdhl.sharepoint.com/:f:/r/teams/CSManagement962/Shared%20Documents/General/Directorio%20COE/L1%20-%20KPIs?csf=1&amp;web=1&amp;e=RvBbxe"/>
    <m/>
    <s v="Gerente define y aprueba los KPIs relevantes para cada área. CSD apoya en consolidación y formato."/>
    <s v="Definir KPIs FL;Definir KPIs BL;Definir KPIs KAD;Definir KPIs CSD;Aprobar Scorecard final"/>
    <s v="L01-01"/>
    <s v="Presionar Ctrl+Shift+E"/>
    <x v="0"/>
    <m/>
  </r>
  <r>
    <s v="T20250708-4"/>
    <x v="0"/>
    <s v="L01"/>
    <s v="Comunicar y capacitar sobre el CSE Scorecard"/>
    <x v="0"/>
    <x v="0"/>
    <x v="0"/>
    <d v="2025-07-08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0"/>
  </r>
  <r>
    <s v="T20250708-5"/>
    <x v="0"/>
    <s v="L01"/>
    <s v="Comunicar y capacitar sobre el CSE Scorecard"/>
    <x v="0"/>
    <x v="0"/>
    <x v="2"/>
    <d v="2025-07-15T00:00:00"/>
    <s v="https://app.getguru.com/folders/cXz9Lp4i/L1"/>
    <m/>
    <s v="Gerente lidera estrategia, Supervisores capacitan a equipos, CSD prepara material de apoyo."/>
    <s v="Realizar sesión de refuerzo FL;Realizar sesión de refuerzo BL;Realizar sesión de refuerzo KAD"/>
    <s v="L01-02"/>
    <s v="Presionar Ctrl+Shift+E"/>
    <x v="0"/>
    <n v="7"/>
  </r>
  <r>
    <s v="T20250708-6"/>
    <x v="0"/>
    <s v="L01"/>
    <s v="Comunicar y capacitar sobre el CSE Scorecard"/>
    <x v="0"/>
    <x v="1"/>
    <x v="3"/>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7"/>
    <x v="0"/>
    <s v="L01"/>
    <s v="Comunicar y capacitar sobre el CSE Scorecard"/>
    <x v="0"/>
    <x v="1"/>
    <x v="1"/>
    <m/>
    <s v="https://app.getguru.com/folders/cXz9Lp4i/L1"/>
    <m/>
    <s v="Gerente lidera estrategia, Supervisores capacitan a equipos, CSD prepara material de apoyo."/>
    <s v="Realizar sesión de refuerzo FL;Realizar sesión de refuerzo BL;Realizar sesión de refuerzo KAD"/>
    <s v="L01-02"/>
    <s v="Presionar Ctrl+Shift+E"/>
    <x v="0"/>
    <m/>
  </r>
  <r>
    <s v="T20250708-8"/>
    <x v="0"/>
    <s v="L01"/>
    <s v="Preparación para Auditoría - Simulacro KPIs"/>
    <x v="0"/>
    <x v="0"/>
    <x v="0"/>
    <d v="2025-07-08T00:00:00"/>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n v="0"/>
  </r>
  <r>
    <s v="T20250708-9"/>
    <x v="0"/>
    <s v="L01"/>
    <s v="Preparación para Auditoría - Simulacro KPIs"/>
    <x v="0"/>
    <x v="1"/>
    <x v="2"/>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0"/>
    <x v="0"/>
    <s v="L01"/>
    <s v="Preparación para Auditoría - Simulacro KPIs"/>
    <x v="0"/>
    <x v="1"/>
    <x v="3"/>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1"/>
    <x v="0"/>
    <s v="L01"/>
    <s v="Preparación para Auditoría - Simulacro KPIs"/>
    <x v="0"/>
    <x v="1"/>
    <x v="1"/>
    <m/>
    <s v="https://app.getguru.com/folders/cXz9Lp4i/L1"/>
    <m/>
    <s v="Realizar simulacros de entrevistas para asegurar que personal pueda explicar KPIs y acceder al Scorecard."/>
    <s v="Realizar simulacro con equipo FL;Realizar simulacro con equipo BL;Realizar simulacro con CSD"/>
    <s v="L01-03"/>
    <s v="Presionar Ctrl+Shift+E"/>
    <x v="0"/>
    <m/>
  </r>
  <r>
    <s v="T20250708-12"/>
    <x v="0"/>
    <s v="L01"/>
    <s v="Asegurar que Gerencia y Supervisores expliquen el Scorecard"/>
    <x v="0"/>
    <x v="0"/>
    <x v="0"/>
    <d v="2025-07-08T00:00:00"/>
    <s v="https://ppmt.dhl.com/ppmt/#/ppmt/auth"/>
    <m/>
    <s v="Gerente auto-prepara y prepara a Supervisores en todas las métricas, cálculo e impacto."/>
    <s v="Sesión de preparación con Supervisores y CSD"/>
    <s v="L01-04"/>
    <s v="Presionar Ctrl+Shift+E"/>
    <x v="0"/>
    <n v="0"/>
  </r>
  <r>
    <s v="T20250708-13"/>
    <x v="0"/>
    <s v="L01"/>
    <s v="Verificar accesibilidad del CSE Scorecard"/>
    <x v="0"/>
    <x v="1"/>
    <x v="2"/>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4"/>
    <x v="0"/>
    <s v="L01"/>
    <s v="Verificar accesibilidad del CSE Scorecard"/>
    <x v="0"/>
    <x v="1"/>
    <x v="3"/>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5"/>
    <x v="0"/>
    <s v="L01"/>
    <s v="Verificar accesibilidad del CSE Scorecard"/>
    <x v="0"/>
    <x v="1"/>
    <x v="1"/>
    <m/>
    <s v="https://ppmt.dhl.com/ppmt/#/ppmt/auth"/>
    <m/>
    <s v="CSD gestiona plataformas, Supervisores verifican en puestos de trabajo. La tarea es la verificación."/>
    <s v="Verificar acceso en SmartConnect;Verificar acceso en PPMT;Verificar disponibilidad física"/>
    <s v="L01-05"/>
    <s v="Presionar Ctrl+Shift+E"/>
    <x v="0"/>
    <m/>
  </r>
  <r>
    <s v="T20250708-16"/>
    <x v="0"/>
    <s v="L02"/>
    <s v="Asegurar que existen Job Descriptions (JD) actualizadas"/>
    <x v="0"/>
    <x v="0"/>
    <x v="0"/>
    <d v="2025-07-08T00:00:00"/>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n v="0"/>
  </r>
  <r>
    <s v="T20250708-17"/>
    <x v="0"/>
    <s v="L02"/>
    <s v="Asegurar que existen Job Descriptions (JD) actualizadas"/>
    <x v="0"/>
    <x v="1"/>
    <x v="2"/>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8"/>
    <x v="0"/>
    <s v="L02"/>
    <s v="Asegurar que existen Job Descriptions (JD) actualizadas"/>
    <x v="0"/>
    <x v="1"/>
    <x v="3"/>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19"/>
    <x v="0"/>
    <s v="L02"/>
    <s v="Asegurar que existen Job Descriptions (JD) actualizadas"/>
    <x v="0"/>
    <x v="1"/>
    <x v="1"/>
    <m/>
    <s v="https://dpdhl.sharepoint.com/:f:/r/teams/CSManagement962/Shared%20Documents/General/Directorio%20COE/L2%20JOB%20Description/2025?csf=1&amp;web=1&amp;e=SokMbq"/>
    <m/>
    <s v="Gerente lidera y aprueba revisión anual de JDs en colaboración con HR y CSD."/>
    <s v="Revisar JD Gerente;Revisar JD Sup FL;Revisar JD Sup BL;Revisar JD CSD;Revisar JD Agentes"/>
    <s v="L02-01"/>
    <s v="Presionar Ctrl+Shift+E"/>
    <x v="0"/>
    <m/>
  </r>
  <r>
    <s v="T20250708-20"/>
    <x v="0"/>
    <s v="L02"/>
    <s v="Comunicar formalmente las JDs y obtener acuse de recibo"/>
    <x v="0"/>
    <x v="0"/>
    <x v="0"/>
    <d v="2025-07-08T00:00:00"/>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n v="0"/>
  </r>
  <r>
    <s v="T20250708-21"/>
    <x v="0"/>
    <s v="L02"/>
    <s v="Comunicar formalmente las JDs y obtener acuse de recibo"/>
    <x v="0"/>
    <x v="1"/>
    <x v="2"/>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2"/>
    <x v="0"/>
    <s v="L02"/>
    <s v="Comunicar formalmente las JDs y obtener acuse de recibo"/>
    <x v="0"/>
    <x v="1"/>
    <x v="3"/>
    <m/>
    <s v="https://dpdhl.sharepoint.com/:f:/r/teams/CSManagement962/Shared%20Documents/General/Directorio%20COE/L2%20JOB%20Description/2025/Evidencia%20comunicaci%C3%B3n?csf=1&amp;web=1&amp;e=UF7SGr"/>
    <m/>
    <s v="Supervisores comunican JDs a sus equipos y Gerente a reportes directos."/>
    <s v="Comunicar JDs a equipo FL;Comunicar JDs a equipo BL;Obtener acuses de recibo"/>
    <s v="L02-02"/>
    <s v="Presionar Ctrl+Shift+E"/>
    <x v="0"/>
    <m/>
  </r>
  <r>
    <s v="T20250708-23"/>
    <x v="0"/>
    <s v="L02"/>
    <s v="Asegurar actualización del sistema HR (MyTalentWorld)"/>
    <x v="0"/>
    <x v="0"/>
    <x v="0"/>
    <d v="2025-07-08T00:00:00"/>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n v="0"/>
  </r>
  <r>
    <s v="T20250708-24"/>
    <x v="0"/>
    <s v="L02"/>
    <s v="Asegurar actualización del sistema HR (MyTalentWorld)"/>
    <x v="0"/>
    <x v="1"/>
    <x v="2"/>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5"/>
    <x v="0"/>
    <s v="L02"/>
    <s v="Asegurar actualización del sistema HR (MyTalentWorld)"/>
    <x v="0"/>
    <x v="1"/>
    <x v="3"/>
    <m/>
    <s v="https://dpdhl.csod.com/LMS/catalog/Welcome.aspx?tab_page_id=-67&amp;tab_id=-1"/>
    <m/>
    <s v="Gerente asegura cumplimiento y Supervisores actualizan datos de objetivos, desempeño y desarrollo (IDP)."/>
    <s v="Revisar completitud de objetivos;Revisar completitud de evaluaciones;Revisar planes de desarrollo"/>
    <s v="L02-03"/>
    <s v="Presionar Ctrl+Shift+E"/>
    <x v="0"/>
    <m/>
  </r>
  <r>
    <s v="T20250708-26"/>
    <x v="0"/>
    <s v="L02"/>
    <s v="Preparación para Auditoría - Simulacro JDs y en MyTalent"/>
    <x v="0"/>
    <x v="1"/>
    <x v="2"/>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7"/>
    <x v="0"/>
    <s v="L02"/>
    <s v="Preparación para Auditoría - Simulacro JDs y en MyTalent"/>
    <x v="0"/>
    <x v="1"/>
    <x v="3"/>
    <m/>
    <s v="https://app.getguru.com/folders/TokX4aMc/L2"/>
    <m/>
    <s v="Capacitar y realizar simulacros con personal para que puedan acceder y explicar su JD y su relación con objetivos."/>
    <s v="Realizar simulacro con equipo FL;Realizar simulacro con equipo BL"/>
    <s v="L02-04"/>
    <s v="Presionar Ctrl+Shift+E"/>
    <x v="0"/>
    <m/>
  </r>
  <r>
    <s v="T20250708-28"/>
    <x v="0"/>
    <s v="L02"/>
    <s v="Verificar accesibilidad de JDs"/>
    <x v="0"/>
    <x v="1"/>
    <x v="1"/>
    <m/>
    <s v="https://app.getguru.com/folders/TokX4aMc/L2"/>
    <m/>
    <s v="Gerente define repositorio, CSD apoya en gestión. La tarea es la verificación."/>
    <s v="Verificar acceso a repositorio de JDs"/>
    <s v="L02-05"/>
    <s v="Presionar Ctrl+Shift+E"/>
    <x v="0"/>
    <m/>
  </r>
  <r>
    <s v="T20250708-29"/>
    <x v="0"/>
    <s v="L03"/>
    <s v="Ejecutar reunión departamental mensual"/>
    <x v="0"/>
    <x v="0"/>
    <x v="0"/>
    <d v="2025-07-08T00:00:00"/>
    <s v="https://app.getguru.com/folders/ixj7eBpT/Revisiones-de-equipo"/>
    <m/>
    <s v="Gerente lidera la reunión mensual con todo el departamento."/>
    <s v="Realizar reunión mensual departamental"/>
    <s v="L03-02"/>
    <s v="Presionar Ctrl+Shift+E"/>
    <x v="0"/>
    <n v="0"/>
  </r>
  <r>
    <s v="T20250708-30"/>
    <x v="0"/>
    <s v="L03"/>
    <s v="Distribuir reportes de desempeño a los agentes para su revisión y análisis"/>
    <x v="0"/>
    <x v="2"/>
    <x v="1"/>
    <m/>
    <s v="https://app.getguru.com/card/cgEbRpAi/COE-M3-M4-Daily-Reporting-CS-PA-"/>
    <m/>
    <s v="CSD genera y distribuye reportes base. Supervisores comunican y explican a equipos."/>
    <s v="Generar y enviar reporte diario de KPIs"/>
    <s v="L03-03"/>
    <s v="Presionar Ctrl+Shift+E"/>
    <x v="0"/>
    <m/>
  </r>
  <r>
    <s v="T20250708-31"/>
    <x v="0"/>
    <s v="L04"/>
    <s v="Generar forecast de llamadas (mensual)"/>
    <x v="0"/>
    <x v="1"/>
    <x v="1"/>
    <m/>
    <s v="https://dpdhl.sharepoint.com/:x:/r/teams/CSManagement962/Shared%20Documents/General/Directorio%20COE/L4%20Capacity%20FL/2025/Capacity/PA%20-%20WFM%20Tool%20Frontline%202025.xlsm?d=w67e1cbbeca88499180eaf51b9eba8bb3&amp;csf=1&amp;web=1&amp;e=v9L09M"/>
    <m/>
    <s v="CSD genera el forecast mensual de llamadas según metodología."/>
    <s v="Generar forecast mensual de llamadas"/>
    <s v="L04-01"/>
    <s v="Presionar Ctrl+Shift+E"/>
    <x v="0"/>
    <m/>
  </r>
  <r>
    <s v="T20250708-32"/>
    <x v="0"/>
    <s v="L04"/>
    <s v="Revisar y validar internamente el forecast de llamadas"/>
    <x v="0"/>
    <x v="0"/>
    <x v="0"/>
    <d v="2025-07-08T00:00:00"/>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n v="0"/>
  </r>
  <r>
    <s v="T20250708-33"/>
    <x v="0"/>
    <s v="L04"/>
    <s v="Revisar y validar internamente el forecast de llamadas"/>
    <x v="0"/>
    <x v="1"/>
    <x v="1"/>
    <m/>
    <s v="https://dpdhl.sharepoint.com/:x:/r/teams/CSManagement962/Shared%20Documents/General/Directorio%20COE/L4%20Capacity%20FL/2025/Capacity/PA%20-%20WFM%20Tool%20Frontline%202025.xlsm?d=w67e1cbbeca88499180eaf51b9eba8bb3&amp;csf=1&amp;web=1&amp;e=v9L09M"/>
    <m/>
    <s v="CSD realiza auto-revisión y Gerente revisa los forecasts clave."/>
    <s v="Validar forecast mensual de llamadas"/>
    <s v="L04-02"/>
    <s v="Presionar Ctrl+Shift+E"/>
    <x v="0"/>
    <m/>
  </r>
  <r>
    <s v="T20250708-34"/>
    <x v="0"/>
    <s v="L04"/>
    <s v="Revisar metodología de forecasting de llamadas"/>
    <x v="0"/>
    <x v="1"/>
    <x v="1"/>
    <m/>
    <m/>
    <m/>
    <s v="Revisión semestral de la metodología documentada."/>
    <s v="Revisar documento de metodología;Validar parámetros OET;Aprobar metodología"/>
    <s v="L04-03"/>
    <s v="Presionar Ctrl+Shift+E"/>
    <x v="0"/>
    <m/>
  </r>
  <r>
    <s v="T20250708-35"/>
    <x v="0"/>
    <s v="L04"/>
    <s v="Revisar metodología de forecasting de llamadas"/>
    <x v="0"/>
    <x v="0"/>
    <x v="0"/>
    <d v="2025-07-08T00:00:00"/>
    <m/>
    <m/>
    <s v="Revisión semestral de la metodología documentada."/>
    <s v="Revisar documento de metodología;Validar parámetros OET;Aprobar metodología"/>
    <s v="L04-03"/>
    <s v="Presionar Ctrl+Shift+E"/>
    <x v="0"/>
    <n v="0"/>
  </r>
  <r>
    <s v="T20250708-36"/>
    <x v="0"/>
    <s v="L04"/>
    <s v="Revisar shrinkage de archivo Monthly report y cargarlo en capacity"/>
    <x v="0"/>
    <x v="1"/>
    <x v="1"/>
    <m/>
    <s v="https://dpdhl.sharepoint.com/:f:/r/teams/CSManagement962/Shared%20Documents/General/Directorio%20COE/L4%20Capacity%20FL/2025/Monthly%20report?csf=1&amp;web=1&amp;e=MA6jfF"/>
    <m/>
    <m/>
    <m/>
    <s v="L04-04"/>
    <s v="Presionar Ctrl+Shift+E"/>
    <x v="0"/>
    <m/>
  </r>
  <r>
    <s v="T20250708-37"/>
    <x v="0"/>
    <s v="L04"/>
    <s v="Revisar cada vez que se necesite hacer un re-forecast por variaciones significativas en llamadas, shrinkage, GOS"/>
    <x v="0"/>
    <x v="1"/>
    <x v="1"/>
    <m/>
    <s v="https://dpdhl.sharepoint.com/:f:/r/teams/CSManagement962/Shared%20Documents/General/Directorio%20COE/L4%20Capacity%20FL/2025/Necesidad%20de%20re-forecast?csf=1&amp;web=1&amp;e=Dhv5LU"/>
    <m/>
    <m/>
    <m/>
    <s v="L04-07"/>
    <s v="Presionar Ctrl+Shift+E"/>
    <x v="0"/>
    <m/>
  </r>
  <r>
    <s v="T20250708-38"/>
    <x v="0"/>
    <s v="L05"/>
    <s v="Calcular y analizar variación mensual de llamadas"/>
    <x v="0"/>
    <x v="1"/>
    <x v="1"/>
    <m/>
    <s v="https://dpdhl.sharepoint.com/:x:/r/teams/CSManagement962/Shared%20Documents/General/Directorio%20COE/L5%20Forecast%20accuracy%20FL/2025/PA%20Monthly%20Forecast%20Assessment%20Summary%202025.xlsx?d=w2a3a1abb459e4904bc00b4480718c25e&amp;csf=1&amp;web=1&amp;e=aoqopv"/>
    <m/>
    <s v="CSD calcula la variación. Si excede +/-10%, investiga y documenta causas con validación del Gerente."/>
    <s v="Calcular variación vs forecast;Analizar causas si &gt;10%;Documentar análisis y acciones"/>
    <s v="L05-01"/>
    <s v="Presionar Ctrl+Shift+E"/>
    <x v="0"/>
    <m/>
  </r>
  <r>
    <s v="T20250708-39"/>
    <x v="0"/>
    <s v="L05"/>
    <s v="Revisar diariamente llamadas reales vs. forecast y hacer comentarios cuando la variación es de +/- 10%"/>
    <x v="0"/>
    <x v="2"/>
    <x v="1"/>
    <m/>
    <s v="https://dpdhl.sharepoint.com/:x:/r/teams/CSManagement962/Shared%20Documents/General/Directorio%20COE/L4%20Capacity%20FL/2025/Capacity/PA%20-%20WFM%20Tool%20Frontline%202025.xlsm?d=w67e1cbbeca88499180eaf51b9eba8bb3&amp;csf=1&amp;web=1&amp;e=7MLSz6"/>
    <m/>
    <m/>
    <m/>
    <s v="L05-02"/>
    <s v="Presionar Ctrl+Shift+E"/>
    <x v="0"/>
    <m/>
  </r>
  <r>
    <s v="T20250708-40"/>
    <x v="0"/>
    <s v="L05"/>
    <s v="Realizar y guardar evidencia de re-forecast en WFM tool de acuerdo a variaciones en el volumen actual de llamadas para ajustar manpower"/>
    <x v="0"/>
    <x v="2"/>
    <x v="1"/>
    <m/>
    <s v="https://dpdhl.sharepoint.com/:f:/r/teams/CSManagement962/Shared%20Documents/General/Directorio%20COE/L5%20Forecast%20accuracy%20FL/2025/Evidencia%20re-forecast?csf=1&amp;web=1&amp;e=jIxJWn"/>
    <m/>
    <m/>
    <m/>
    <s v="L05-03"/>
    <s v="Presionar Ctrl+Shift+E"/>
    <x v="0"/>
    <m/>
  </r>
  <r>
    <s v="T20250708-41"/>
    <x v="0"/>
    <s v="L06"/>
    <s v="Generar forecast de chats (mensual)"/>
    <x v="0"/>
    <x v="1"/>
    <x v="1"/>
    <m/>
    <s v="https://dpdhl.sharepoint.com/:x:/r/teams/CSManagement962/Shared%20Documents/General/Directorio%20COE/L6%20Capacity%20mail%20chat/PA_DHLE%20mail-chat%20WFM%20Tool.xlsm?d=w47debcb92c0248c0a729f0963c16d922&amp;csf=1&amp;web=1&amp;e=bwIziq"/>
    <m/>
    <s v="CSD genera el forecast mensual de chats según metodología."/>
    <s v="Generar forecast mensual de chats"/>
    <s v="L06-01"/>
    <s v="Presionar Ctrl+Shift+E"/>
    <x v="0"/>
    <m/>
  </r>
  <r>
    <s v="T20250708-42"/>
    <x v="0"/>
    <s v="L07"/>
    <s v="Calcular y analizar variación mensual de chats"/>
    <x v="0"/>
    <x v="1"/>
    <x v="1"/>
    <m/>
    <s v="https://dpdhl.sharepoint.com/:f:/r/teams/CSManagement962/Shared%20Documents/General/Directorio%20COE/L6%20Capacity%20mail%20chat?csf=1&amp;web=1&amp;e=2joJXi"/>
    <m/>
    <s v="CSD calcula la variación. Si excede +/-10%, investiga y documenta causas con validación del Gerente."/>
    <s v="Calcular variación vs forecast;Analizar causas si &gt;10%;Documentar análisis y acciones"/>
    <s v="L07-01"/>
    <s v="Presionar Ctrl+Shift+E"/>
    <x v="0"/>
    <m/>
  </r>
  <r>
    <s v="T20250708-43"/>
    <x v="0"/>
    <s v="L08"/>
    <s v="Monitoreo en Tiempo Real (RTA) de adherencia y metricas fuera de lo normal (AHT, ACW prolongados, etc.)"/>
    <x v="0"/>
    <x v="2"/>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4"/>
    <x v="0"/>
    <s v="L08"/>
    <s v="Monitoreo en Tiempo Real (RTA) de adherencia y metricas fuera de lo normal (AHT, ACW prolongados, etc.)"/>
    <x v="0"/>
    <x v="2"/>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8-45"/>
    <x v="0"/>
    <s v="L09"/>
    <s v="Generar forecast de carga de trabajo BL/KAD (mensual)"/>
    <x v="0"/>
    <x v="1"/>
    <x v="1"/>
    <m/>
    <s v="https://dpdhl.sharepoint.com/:x:/r/teams/CSManagement962/Shared%20Documents/General/Directorio%20COE/L9%20Capacity%20BL/2025/PA_DHLE%20BL%20WFM%20Tool.xlsm?d=w111cf45345d340f9b13cb5612f97eb16&amp;csf=1&amp;web=1&amp;e=LjS4WN"/>
    <m/>
    <s v="CSD genera forecast mensual de carga de trabajo para BL/KAD."/>
    <s v="Generar forecast BL/KAD"/>
    <s v="L09-01"/>
    <s v="Presionar Ctrl+Shift+E"/>
    <x v="0"/>
    <m/>
  </r>
  <r>
    <s v="T20250708-46"/>
    <x v="0"/>
    <s v="L09"/>
    <s v="Monitorear y analizar workload diario BL/KAD"/>
    <x v="0"/>
    <x v="2"/>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7"/>
    <x v="0"/>
    <s v="L09"/>
    <s v="Monitorear y analizar workload diario BL/KAD"/>
    <x v="0"/>
    <x v="2"/>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8-48"/>
    <x v="0"/>
    <s v="L09"/>
    <s v="Revisar precisión del forecast de BL/KAD"/>
    <x v="0"/>
    <x v="1"/>
    <x v="1"/>
    <m/>
    <s v="https://dpdhl.sharepoint.com/:x:/r/teams/CSManagement962/Shared%20Documents/General/Directorio%20COE/L9%20Capacity%20BL/2025/CSA%20BL%20Tasks%202025.xlsx?d=w32ec743831a44361a041fe002b16478c&amp;csf=1&amp;web=1&amp;e=PDjraU"/>
    <m/>
    <m/>
    <m/>
    <s v="L09-03"/>
    <s v="Presionar Ctrl+Shift+E"/>
    <x v="0"/>
    <m/>
  </r>
  <r>
    <s v="T20250708-49"/>
    <x v="0"/>
    <s v="L09"/>
    <s v="Realizar Time &amp; Motion BL y KAD"/>
    <x v="0"/>
    <x v="1"/>
    <x v="3"/>
    <m/>
    <s v="https://dpdhl.sharepoint.com/:x:/r/teams/CSManagement962/Shared%20Documents/General/Directorio%20COE/L9%20Capacity%20BL/2025/Time%20%26%20Motion%202025_06_PA.xlsm?d=wcbe5a33cb566445e92220d67ae92428c&amp;csf=1&amp;web=1&amp;e=bvivbF"/>
    <m/>
    <m/>
    <m/>
    <s v="L09-04"/>
    <s v="Presionar Ctrl+Shift+E"/>
    <x v="0"/>
    <m/>
  </r>
  <r>
    <s v="T20250708-50"/>
    <x v="0"/>
    <s v="L09"/>
    <s v="Realizar Time &amp; Motion BL y KAD"/>
    <x v="0"/>
    <x v="1"/>
    <x v="1"/>
    <m/>
    <s v="https://dpdhl.sharepoint.com/:x:/r/teams/CSManagement962/Shared%20Documents/General/Directorio%20COE/L9%20Capacity%20BL/2025/Time%20%26%20Motion%202025_06_PA.xlsm?d=wcbe5a33cb566445e92220d67ae92428c&amp;csf=1&amp;web=1&amp;e=bvivbF"/>
    <m/>
    <m/>
    <m/>
    <s v="L09-04"/>
    <s v="Presionar Ctrl+Shift+E"/>
    <x v="0"/>
    <m/>
  </r>
  <r>
    <s v="T20250708-51"/>
    <x v="0"/>
    <s v="L09"/>
    <s v="Analizar Shrinkage BL/KAD"/>
    <x v="0"/>
    <x v="1"/>
    <x v="1"/>
    <m/>
    <s v="https://dpdhl.sharepoint.com/:x:/r/teams/CSManagement962/Shared%20Documents/General/Directorio%20COE/L9%20Capacity%20BL/2025/PA%20-%20Shrinkage%20Calculator%202025.xlsm?d=wb3cbe9639f25489986bac96f06ee7eaa&amp;csf=1&amp;web=1&amp;e=ATvfWR"/>
    <m/>
    <m/>
    <m/>
    <s v="L09-05"/>
    <s v="Presionar Ctrl+Shift+E"/>
    <x v="0"/>
    <m/>
  </r>
  <r>
    <s v="T20250708-52"/>
    <x v="0"/>
    <s v="L09"/>
    <s v="Realizar workload KAD trimestral para balancear carteras de ser necesario"/>
    <x v="0"/>
    <x v="1"/>
    <x v="3"/>
    <m/>
    <s v="https://dpdhl.sharepoint.com/:f:/r/teams/CSManagement962/Shared%20Documents/General/Directorio%20COE/L9%20Capacity%20BL/2025/Balance%20KAD%20trimestral?csf=1&amp;web=1&amp;e=jMhFJ2"/>
    <m/>
    <m/>
    <m/>
    <s v="L09-06"/>
    <s v="Presionar Ctrl+Shift+E"/>
    <x v="0"/>
    <m/>
  </r>
  <r>
    <s v="T20250708-53"/>
    <x v="0"/>
    <s v="L09"/>
    <s v="Realizar workload KAD trimestral para balancear carteras de ser necesario"/>
    <x v="0"/>
    <x v="1"/>
    <x v="1"/>
    <m/>
    <s v="https://dpdhl.sharepoint.com/:f:/r/teams/CSManagement962/Shared%20Documents/General/Directorio%20COE/L9%20Capacity%20BL/2025/Balance%20KAD%20trimestral?csf=1&amp;web=1&amp;e=jMhFJ2"/>
    <m/>
    <m/>
    <m/>
    <s v="L09-06"/>
    <s v="Presionar Ctrl+Shift+E"/>
    <x v="0"/>
    <m/>
  </r>
  <r>
    <s v="T20250708-54"/>
    <x v="0"/>
    <s v="L11"/>
    <s v="Revisar y comunicar política de ausencias y vacaciones"/>
    <x v="0"/>
    <x v="0"/>
    <x v="0"/>
    <d v="2025-07-08T00:00:00"/>
    <s v="https://app.getguru.com/card/cbeMoL9i/Poltica-de-vacaciones-asistencia-y-permisos-PA"/>
    <m/>
    <s v="Revisión anual de la política y umbrales de ausentismo."/>
    <s v="Revisar política de ausencias;Validar umbrales con CSD;Comunicar política"/>
    <s v="L11-01"/>
    <s v="Presionar Ctrl+Shift+E"/>
    <x v="0"/>
    <n v="0"/>
  </r>
  <r>
    <s v="T20250708-55"/>
    <x v="0"/>
    <s v="L11"/>
    <s v="Planificar y aprobar vacaciones anuales/semestrales"/>
    <x v="0"/>
    <x v="0"/>
    <x v="0"/>
    <d v="2025-07-08T00:00:00"/>
    <s v="https://app.getguru.com/folders/caBo7eXi/L11-Vacaciones"/>
    <m/>
    <s v="Proceso de planificación de vacaciones para asegurar cobertura."/>
    <s v="Recolectar preferencias de vacaciones;Crear y aprobar plan de vacaciones"/>
    <s v="L11-02"/>
    <s v="Presionar Ctrl+Shift+E"/>
    <x v="0"/>
    <n v="0"/>
  </r>
  <r>
    <s v="T20250708-56"/>
    <x v="0"/>
    <s v="L11"/>
    <s v="Planificar y aprobar vacaciones anuales/semestrales"/>
    <x v="0"/>
    <x v="1"/>
    <x v="1"/>
    <m/>
    <s v="https://app.getguru.com/folders/caBo7eXi/L11-Vacaciones"/>
    <m/>
    <s v="Proceso de planificación de vacaciones para asegurar cobertura."/>
    <s v="Recolectar preferencias de vacaciones;Crear y aprobar plan de vacaciones"/>
    <s v="L11-02"/>
    <s v="Presionar Ctrl+Shift+E"/>
    <x v="0"/>
    <m/>
  </r>
  <r>
    <s v="T20250708-57"/>
    <x v="0"/>
    <s v="L11"/>
    <s v="Rastrear y registrar ausencias"/>
    <x v="0"/>
    <x v="2"/>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8-58"/>
    <x v="0"/>
    <s v="L11"/>
    <s v="Revisar tendencia de ausencias y hacer planes de acción para corregir y guardar la evidencia"/>
    <x v="0"/>
    <x v="1"/>
    <x v="2"/>
    <m/>
    <s v="https://dpdhl.sharepoint.com/:f:/r/teams/CSManagement962/Shared%20Documents/General/Directorio%20COE/L11%20Vacaciones/Vacaciones/2025?csf=1&amp;web=1&amp;e=TKXQce"/>
    <m/>
    <m/>
    <m/>
    <s v="L11-04"/>
    <s v="Presionar Ctrl+Shift+E"/>
    <x v="0"/>
    <m/>
  </r>
  <r>
    <s v="T20250708-59"/>
    <x v="0"/>
    <s v="L11"/>
    <s v="Revisar tendencia de ausencias y hacer planes de acción para corregir y guardar la evidencia"/>
    <x v="0"/>
    <x v="1"/>
    <x v="3"/>
    <m/>
    <s v="https://dpdhl.sharepoint.com/:f:/r/teams/CSManagement962/Shared%20Documents/General/Directorio%20COE/L11%20Vacaciones/Vacaciones/2025?csf=1&amp;web=1&amp;e=TKXQce"/>
    <m/>
    <m/>
    <m/>
    <s v="L11-04"/>
    <s v="Presionar Ctrl+Shift+E"/>
    <x v="0"/>
    <m/>
  </r>
  <r>
    <s v="T20250708-60"/>
    <x v="0"/>
    <s v="L11"/>
    <s v="Revisar tendencia de ausencias y hacer planes de acción para corregir y guardar la evidencia"/>
    <x v="0"/>
    <x v="1"/>
    <x v="1"/>
    <m/>
    <s v="https://dpdhl.sharepoint.com/:f:/r/teams/CSManagement962/Shared%20Documents/General/Directorio%20COE/L11%20Vacaciones/Vacaciones/2025?csf=1&amp;web=1&amp;e=TKXQce"/>
    <m/>
    <m/>
    <m/>
    <s v="L11-04"/>
    <s v="Presionar Ctrl+Shift+E"/>
    <x v="0"/>
    <m/>
  </r>
  <r>
    <s v="T20250708-61"/>
    <x v="0"/>
    <s v="L12"/>
    <s v="Revisar y actualizar buddy system"/>
    <x v="0"/>
    <x v="0"/>
    <x v="0"/>
    <d v="2025-07-08T00:00:00"/>
    <s v="https://app.getguru.com/card/Ta8EeRyc/Politica-de-Buddies-L12"/>
    <m/>
    <s v="Revisión semestral del plan y actualización trimestral de la lista de buddys."/>
    <s v="Revisar plan de cobertura;Actualizar lista de buddys"/>
    <s v="L12-01"/>
    <s v="Presionar Ctrl+Shift+E"/>
    <x v="0"/>
    <n v="0"/>
  </r>
  <r>
    <s v="T20250708-62"/>
    <x v="0"/>
    <s v="L12"/>
    <s v="Revisar y actualizar buddy system"/>
    <x v="0"/>
    <x v="1"/>
    <x v="3"/>
    <m/>
    <s v="https://app.getguru.com/card/Ta8EeRyc/Politica-de-Buddies-L12"/>
    <m/>
    <s v="Revisión semestral del plan y actualización trimestral de la lista de buddys."/>
    <s v="Revisar plan de cobertura;Actualizar lista de buddys"/>
    <s v="L12-01"/>
    <s v="Presionar Ctrl+Shift+E"/>
    <x v="0"/>
    <m/>
  </r>
  <r>
    <s v="T20250708-63"/>
    <x v="0"/>
    <s v="L12"/>
    <s v="Gestionar trabajo de ausentes. Apoyarse en Plan de Contingencias"/>
    <x v="0"/>
    <x v="2"/>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4"/>
    <x v="0"/>
    <s v="L12"/>
    <s v="Gestionar trabajo de ausentes. Apoyarse en Plan de Contingencias"/>
    <x v="0"/>
    <x v="2"/>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5"/>
    <x v="0"/>
    <s v="L12"/>
    <s v="Gestionar trabajo de ausentes. Apoyarse en Plan de Contingencias"/>
    <x v="0"/>
    <x v="2"/>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8-66"/>
    <x v="0"/>
    <s v="L12"/>
    <s v="Actualizar en Gema Admin/SPARK los buddies de BL/KAD de acuerdo con el plan"/>
    <x v="0"/>
    <x v="1"/>
    <x v="3"/>
    <m/>
    <s v="https://gemaadmin.dhl.com/"/>
    <m/>
    <m/>
    <m/>
    <s v="L12-03"/>
    <s v="Presionar Ctrl+Shift+E"/>
    <x v="0"/>
    <m/>
  </r>
  <r>
    <s v="T20250708-67"/>
    <x v="0"/>
    <s v="L13"/>
    <s v="Revisar Plan de Contingencia y de Continuidad del Negocio (BCP)"/>
    <x v="0"/>
    <x v="0"/>
    <x v="0"/>
    <d v="2025-07-08T00:00:00"/>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n v="0"/>
  </r>
  <r>
    <s v="T20250708-68"/>
    <x v="0"/>
    <s v="L13"/>
    <s v="Revisar Plan de Contingencia y de Continuidad del Negocio (BCP)"/>
    <x v="0"/>
    <x v="1"/>
    <x v="2"/>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69"/>
    <x v="0"/>
    <s v="L13"/>
    <s v="Revisar Plan de Contingencia y de Continuidad del Negocio (BCP)"/>
    <x v="0"/>
    <x v="1"/>
    <x v="3"/>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0"/>
    <x v="0"/>
    <s v="L13"/>
    <s v="Revisar Plan de Contingencia y de Continuidad del Negocio (BCP)"/>
    <x v="0"/>
    <x v="1"/>
    <x v="1"/>
    <m/>
    <s v="https://dpdhl.sharepoint.com/:f:/r/teams/CSManagement962/Shared%20Documents/General/Directorio%20COE/L13%20Plan%20contingencia?csf=1&amp;web=1&amp;e=xGgtoD"/>
    <m/>
    <s v="Revisión semestral completa del BCP, involucrando a todos los líderes."/>
    <s v="Revisar escenarios de fallas de sistema;Revisar escenarios de alto ausentismo;Actualizar plan"/>
    <s v="L13-01"/>
    <s v="Presionar Ctrl+Shift+E"/>
    <x v="0"/>
    <m/>
  </r>
  <r>
    <s v="T20250708-71"/>
    <x v="0"/>
    <s v="L13"/>
    <s v="Realizar simulacro del Plan de Contingencia y revisar que las copias físicas estén en su lugar"/>
    <x v="0"/>
    <x v="0"/>
    <x v="0"/>
    <d v="2025-07-08T00:00:00"/>
    <m/>
    <m/>
    <s v="Pruebas semestrales de diferentes escenarios del BCP."/>
    <s v="Planificar simulacro;Ejecutar simulacro;Documentar lecciones"/>
    <s v="L13-02"/>
    <s v="Presionar Ctrl+Shift+E"/>
    <x v="0"/>
    <n v="0"/>
  </r>
  <r>
    <s v="T20250708-72"/>
    <x v="0"/>
    <s v="L13"/>
    <s v="Verificar accesibilidad del Plan de Contingencia"/>
    <x v="0"/>
    <x v="0"/>
    <x v="0"/>
    <d v="2025-07-08T00:00:00"/>
    <s v="https://app.getguru.com/card/irAaaEoT/Plan-de-contingencia-PA"/>
    <m/>
    <s v="Verificación semestral de que el plan está accesible en todos los canales designados."/>
    <s v="Verificar en SharePoint;Verificar copias físicas"/>
    <s v="L13-03"/>
    <s v="Presionar Ctrl+Shift+E"/>
    <x v="0"/>
    <n v="0"/>
  </r>
  <r>
    <s v="T20250708-73"/>
    <x v="0"/>
    <s v="L14"/>
    <s v="Realizar auto-auditoría del proceso KAD. Se recomienda hacer controles cruzados entre distintos KAD"/>
    <x v="0"/>
    <x v="1"/>
    <x v="3"/>
    <m/>
    <s v="https://app.getguru.com/folders/TB78K8pc/L14-Cartera-KAD"/>
    <m/>
    <s v="Verificación trimestral del cumplimiento del proceso KAD (formularios, aprobaciones, etc.)."/>
    <s v="Auditar activaciones del trimestre;Auditar desactivaciones del trimestre"/>
    <s v="L14-01"/>
    <s v="Presionar Ctrl+Shift+E"/>
    <x v="0"/>
    <m/>
  </r>
  <r>
    <s v="T20250708-74"/>
    <x v="0"/>
    <s v="L15"/>
    <s v="Revisar y actualizar perfiles de clientes KAD en el Master File. Se recomienda hacer controles cruzados entre distintos KAD"/>
    <x v="0"/>
    <x v="1"/>
    <x v="3"/>
    <m/>
    <s v="https://app.getguru.com/card/TeApyBqc/-LIST-MASTER-FILE-L15"/>
    <m/>
    <s v="Revisión y actualización semestral de los perfiles de CADA cliente KAD."/>
    <s v="Revisar perfiles de clientes asignados;Actualizar información de contacto y SLAs"/>
    <s v="L15-01"/>
    <s v="Presionar Ctrl+Shift+E"/>
    <x v="0"/>
    <m/>
  </r>
  <r>
    <s v="T20250708-75"/>
    <x v="0"/>
    <s v="L16"/>
    <s v="Revisar CR, Eficiencia operativa, Costos de manera mensual"/>
    <x v="0"/>
    <x v="0"/>
    <x v="0"/>
    <d v="2025-07-08T00:00:00"/>
    <s v="https://dpdhl.sharepoint.com/:f:/r/teams/CSManagement962/Shared%20Documents/General/Directorio%20COE/L4%20Capacity%20FL/2025/Contact%20Rate?csf=1&amp;web=1&amp;e=K5Ywpx"/>
    <m/>
    <m/>
    <m/>
    <s v="L16-02"/>
    <s v="Presionar Ctrl+Shift+E"/>
    <x v="0"/>
    <n v="0"/>
  </r>
  <r>
    <s v="T20250708-76"/>
    <x v="0"/>
    <s v="L17"/>
    <s v="Realizar conciliación mensual de headcount"/>
    <x v="0"/>
    <x v="0"/>
    <x v="0"/>
    <d v="2025-07-08T00:00:00"/>
    <s v="https://dpdhl.sharepoint.com/:f:/r/teams/CSManagement962/Shared%20Documents/General/Directorio%20COE/L17%20-%20HC%20%26%20Ftes/2025?csf=1&amp;web=1&amp;e=M5SKnQ"/>
    <m/>
    <s v="Conciliación formal del headcount de CS contra reportes de HR y Finanzas."/>
    <s v="Obtener reportes HR/Finanzas;Realizar y documentar conciliación;Investigar discrepancias"/>
    <s v="L17-01"/>
    <s v="Presionar Ctrl+Shift+E"/>
    <x v="0"/>
    <n v="0"/>
  </r>
  <r>
    <s v="T20250708-77"/>
    <x v="0"/>
    <s v="L18"/>
    <s v="Revisar y comunicar objetivos de generación de ingresos"/>
    <x v="0"/>
    <x v="0"/>
    <x v="0"/>
    <d v="2025-07-08T00:00:00"/>
    <s v="https://app.getguru.com/card/TyrbBrGc/Target-mensual-Upselling-y-Lead"/>
    <m/>
    <s v="Refuerzo mensual sobre objetivos de ventas, upselling y leads."/>
    <s v="Comunicar objetivos a equipos"/>
    <s v="L18-01"/>
    <s v="Presionar Ctrl+Shift+E"/>
    <x v="0"/>
    <n v="0"/>
  </r>
  <r>
    <s v="T20250708-78"/>
    <x v="0"/>
    <s v="L18"/>
    <s v="Capacitar al equipo de FL para que sepa leer los notice boards y sus KPIs de Upselling y leads y productos que ofrecen"/>
    <x v="0"/>
    <x v="1"/>
    <x v="2"/>
    <m/>
    <s v="https://app.getguru.com/card/TyrbBrGc/Target-mensual-Upselling-y-Lead"/>
    <m/>
    <m/>
    <m/>
    <s v="L18-02"/>
    <s v="Presionar Ctrl+Shift+E"/>
    <x v="0"/>
    <m/>
  </r>
  <r>
    <s v="T20250708-79"/>
    <x v="0"/>
    <s v="L19"/>
    <s v="Monitorear y reportar sobre campañas de venta activas"/>
    <x v="0"/>
    <x v="1"/>
    <x v="1"/>
    <m/>
    <s v="https://app.getguru.com/folders/TXzyzzEc/L19-Campaas"/>
    <m/>
    <s v="Seguimiento mensual del desempeño de las campañas de venta en curso."/>
    <s v="Generar reporte de campaña;Comunicar resultados"/>
    <s v="L19-01"/>
    <s v="Presionar Ctrl+Shift+E"/>
    <x v="0"/>
    <m/>
  </r>
  <r>
    <s v="T20250708-80"/>
    <x v="0"/>
    <s v="L20"/>
    <s v="Realizar seguimiento de plan para transformar las cotizaciones en Bookings efectivos"/>
    <x v="0"/>
    <x v="0"/>
    <x v="0"/>
    <d v="2025-07-08T00:00:00"/>
    <s v="https://app.getguru.com/card/caAoKegi/Procedimiento-Hunter"/>
    <m/>
    <s v="Análisis mensual de la tasa de conversión y causas de no conversión."/>
    <s v="Generar reporte de conversión;Analizar causas raíz;Definir acciones de mejora"/>
    <s v="L20-01"/>
    <s v="Presionar Ctrl+Shift+E"/>
    <x v="0"/>
    <n v="0"/>
  </r>
  <r>
    <s v="T20250708-81"/>
    <x v="0"/>
    <s v="L20"/>
    <s v="Realizar seguimiento de plan para transformar las cotizaciones en Bookings efectivos"/>
    <x v="0"/>
    <x v="1"/>
    <x v="2"/>
    <m/>
    <s v="https://app.getguru.com/card/caAoKegi/Procedimiento-Hunter"/>
    <m/>
    <s v="Análisis mensual de la tasa de conversión y causas de no conversión."/>
    <s v="Generar reporte de conversión;Analizar causas raíz;Definir acciones de mejora"/>
    <s v="L20-01"/>
    <s v="Presionar Ctrl+Shift+E"/>
    <x v="0"/>
    <m/>
  </r>
  <r>
    <s v="T20250708-82"/>
    <x v="0"/>
    <s v="L20"/>
    <s v="Realizar seguimiento de plan para transformar las cotizaciones en Bookings efectivos"/>
    <x v="0"/>
    <x v="1"/>
    <x v="1"/>
    <m/>
    <s v="https://app.getguru.com/card/caAoKegi/Procedimiento-Hunter"/>
    <m/>
    <s v="Análisis mensual de la tasa de conversión y causas de no conversión."/>
    <s v="Generar reporte de conversión;Analizar causas raíz;Definir acciones de mejora"/>
    <s v="L20-01"/>
    <s v="Presionar Ctrl+Shift+E"/>
    <x v="0"/>
    <m/>
  </r>
  <r>
    <s v="T20250708-83"/>
    <x v="0"/>
    <s v="L21"/>
    <s v="Monitorear y coachear sobre oferta de Servicios Opcionales"/>
    <x v="0"/>
    <x v="1"/>
    <x v="2"/>
    <m/>
    <s v="https://app.getguru.com/folders/cjRrgdBi/Servicios-Opcionales-de-Ventas"/>
    <m/>
    <s v="Monitoreo semanal (calidad) para asegurar que el personal ofrece OSS y proveer coaching."/>
    <s v="Escuchar llamadas/revisar chats;Dar feedback sobre oferta de OSS"/>
    <s v="L21-01"/>
    <s v="Presionar Ctrl+Shift+E"/>
    <x v="0"/>
    <m/>
  </r>
  <r>
    <s v="T20250708-84"/>
    <x v="0"/>
    <s v="L22"/>
    <s v="Realizar revisión trimestral del SLA CS-Comercial (plan de Leads/otros)"/>
    <x v="0"/>
    <x v="0"/>
    <x v="0"/>
    <d v="2025-07-08T00:00:00"/>
    <s v="https://app.getguru.com/card/TLx8MaEc/SLA-COMERCIAL-CS-SALES-LEADS-"/>
    <m/>
    <s v="Reunión formal trimestral para revisar progreso del Plan/SLA con Comercial. Basado en plan de generación de Leads"/>
    <s v="Preparar reporte de progreso;Liderar reunión con Comercial;Documentar minuta y acciones"/>
    <s v="L22-01"/>
    <s v="Presionar Ctrl+Shift+E"/>
    <x v="0"/>
    <n v="0"/>
  </r>
  <r>
    <s v="T20250708-85"/>
    <x v="0"/>
    <s v="L22"/>
    <s v="Hacer seguimiento mensual del plan de generación de revenue"/>
    <x v="0"/>
    <x v="0"/>
    <x v="0"/>
    <d v="2025-07-08T00:00:00"/>
    <s v="https://dpdhl.sharepoint.com/:f:/r/teams/CSManagement962/Shared%20Documents/General/Directorio%20COE/L22%20-%20Revenue%20generation/2025?csf=1&amp;web=1&amp;e=4JUXeP"/>
    <m/>
    <m/>
    <m/>
    <s v="L22-02"/>
    <s v="Presionar Ctrl+Shift+E"/>
    <x v="0"/>
    <n v="0"/>
  </r>
  <r>
    <s v="T20250708-86"/>
    <x v="1"/>
    <s v="M01"/>
    <s v="M01.1: Gestionar análisis de causa raíz (RCA) de Traces, Claims y Complaints"/>
    <x v="0"/>
    <x v="0"/>
    <x v="0"/>
    <d v="2025-07-08T00:00:00"/>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n v="0"/>
  </r>
  <r>
    <s v="T20250708-87"/>
    <x v="1"/>
    <s v="M01"/>
    <s v="M01.1: Gestionar análisis de causa raíz (RCA) de Traces, Claims y Complaints"/>
    <x v="0"/>
    <x v="1"/>
    <x v="3"/>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8"/>
    <x v="1"/>
    <s v="M01"/>
    <s v="M01.1: Gestionar análisis de causa raíz (RCA) de Traces, Claims y Complaints"/>
    <x v="0"/>
    <x v="1"/>
    <x v="1"/>
    <m/>
    <s v="https://app.powerbi.com/groups/me/reports/7ca293f4-a52b-4748-8921-a87ad1a9cd85/ReportSection96d9daa09ff2e0f2f145?ctid=cd99fef8-1cd3-4a2a-9bdf-15531181d65e&amp;experience=power-bi"/>
    <m/>
    <s v="Supervisores lideran una sesión mensual de RCA sobre los principales motivos de casos para identificar oportunidades de mejora."/>
    <s v="Identificar top motivos de apertura de casos;Realizar sesión de RCA;Documentar acciones"/>
    <s v="M01-01"/>
    <s v="Presionar Ctrl+Shift+E"/>
    <x v="0"/>
    <m/>
  </r>
  <r>
    <s v="T20250708-89"/>
    <x v="1"/>
    <s v="M01"/>
    <s v="Armar presentaciones para el SMT en base a análisis del RCA para resolver principales oportunidades de aperturas de casos a nivel local"/>
    <x v="0"/>
    <x v="0"/>
    <x v="0"/>
    <d v="2025-07-08T00:00:00"/>
    <s v="https://dpdhl.sharepoint.com/:f:/r/teams/CSManagement962/Shared%20Documents/General/Directorio%20COE/M1/2025?csf=1&amp;web=1&amp;e=2h1eFv"/>
    <m/>
    <m/>
    <m/>
    <s v="M01-02"/>
    <s v="Presionar Ctrl+Shift+E"/>
    <x v="0"/>
    <n v="0"/>
  </r>
  <r>
    <s v="T20250708-90"/>
    <x v="1"/>
    <s v="M01"/>
    <s v="Documentar planes de acción, seguimiento y evidencia de ejecución, con responsables, fechas y evolución en el tiempo y acciones correctivas."/>
    <x v="0"/>
    <x v="0"/>
    <x v="0"/>
    <d v="2025-07-08T00:00:00"/>
    <s v="https://dpdhl.sharepoint.com/:f:/r/teams/CSManagement962/Shared%20Documents/General/Directorio%20COE/M1/2025/Evidencia?csf=1&amp;web=1&amp;e=1p8UFG"/>
    <m/>
    <m/>
    <m/>
    <s v="M01-03"/>
    <s v="Presionar Ctrl+Shift+E"/>
    <x v="0"/>
    <n v="0"/>
  </r>
  <r>
    <s v="T20250708-91"/>
    <x v="1"/>
    <s v="M01"/>
    <s v="Documentar planes de acción, seguimiento y evidencia de ejecución, con responsables, fechas y evolución en el tiempo y acciones correctivas."/>
    <x v="0"/>
    <x v="1"/>
    <x v="3"/>
    <m/>
    <s v="https://dpdhl.sharepoint.com/:f:/r/teams/CSManagement962/Shared%20Documents/General/Directorio%20COE/M1/2025/Evidencia?csf=1&amp;web=1&amp;e=1p8UFG"/>
    <m/>
    <m/>
    <m/>
    <s v="M01-03"/>
    <s v="Presionar Ctrl+Shift+E"/>
    <x v="0"/>
    <m/>
  </r>
  <r>
    <s v="T20250708-92"/>
    <x v="1"/>
    <s v="M01"/>
    <s v="Realizar análisis main offenders y enviarlo a los países que nos impactan en nuestros casos de país, con un plan de acción y seguimiento"/>
    <x v="0"/>
    <x v="0"/>
    <x v="0"/>
    <d v="2025-07-08T00:00:00"/>
    <s v="https://dpdhl.sharepoint.com/:f:/r/teams/CSManagement962/Shared%20Documents/General/Directorio%20COE/M1/2025/Main%20offenders?csf=1&amp;web=1&amp;e=rkY415"/>
    <m/>
    <m/>
    <m/>
    <s v="M01-04"/>
    <s v="Presionar Ctrl+Shift+E"/>
    <x v="0"/>
    <n v="0"/>
  </r>
  <r>
    <s v="T20250708-93"/>
    <x v="1"/>
    <s v="M01"/>
    <s v="Realizar análisis main offenders y enviarlo a los países que nos impactan en nuestros casos de país, con un plan de acción y seguimiento"/>
    <x v="0"/>
    <x v="1"/>
    <x v="1"/>
    <m/>
    <s v="https://dpdhl.sharepoint.com/:f:/r/teams/CSManagement962/Shared%20Documents/General/Directorio%20COE/M1/2025/Main%20offenders?csf=1&amp;web=1&amp;e=rkY415"/>
    <m/>
    <m/>
    <m/>
    <s v="M01-04"/>
    <s v="Presionar Ctrl+Shift+E"/>
    <x v="0"/>
    <m/>
  </r>
  <r>
    <s v="T20250708-94"/>
    <x v="1"/>
    <s v="M02"/>
    <s v="Armar presentación de la voz del cliente de acuerdo con análisis de VOICE"/>
    <x v="0"/>
    <x v="0"/>
    <x v="0"/>
    <d v="2025-07-08T00:00:00"/>
    <s v="https://dpdhl.sharepoint.com/:f:/r/teams/CSManagement962/Shared%20Documents/General/Directorio%20COE/M2%20-%20VOICE%20-%20NPS?csf=1&amp;web=1&amp;e=ttdYZq"/>
    <m/>
    <m/>
    <m/>
    <s v="M02-02"/>
    <s v="Presionar Ctrl+Shift+E"/>
    <x v="0"/>
    <n v="0"/>
  </r>
  <r>
    <s v="T20250708-95"/>
    <x v="1"/>
    <s v="M03"/>
    <s v="M03.1: Utilizar reportes estándar (PPMT y otros) para medir KPIs y eficiencia"/>
    <x v="0"/>
    <x v="2"/>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8-96"/>
    <x v="1"/>
    <s v="M03"/>
    <s v="Revisar 2nd and 3rd escalation y hacer reporte para control de gestión"/>
    <x v="0"/>
    <x v="1"/>
    <x v="3"/>
    <m/>
    <s v="https://dpdhl.sharepoint.com/:f:/r/teams/CSManagement962/Shared%20Documents/General/Directorio%20COE/M3%20-%20Reportes/2nd%20y%203rd%20escalation?csf=1&amp;web=1&amp;e=fH3eSr"/>
    <m/>
    <m/>
    <m/>
    <s v="M03-02"/>
    <s v="Presionar Ctrl+Shift+E"/>
    <x v="0"/>
    <m/>
  </r>
  <r>
    <s v="T20250708-97"/>
    <x v="1"/>
    <s v="M03"/>
    <s v="Realizar reporte casos por cerrar de BL/KAD diario"/>
    <x v="0"/>
    <x v="2"/>
    <x v="1"/>
    <m/>
    <s v="https://dpdhl.sharepoint.com/:f:/r/teams/CSManagement962/Shared%20Documents/General/Directorio%20COE/M3%20-%20Reportes/Casos%20x%20Cerrar?csf=1&amp;web=1&amp;e=pTiEBB"/>
    <m/>
    <m/>
    <m/>
    <s v="M03-04"/>
    <s v="Presionar Ctrl+Shift+E"/>
    <x v="0"/>
    <m/>
  </r>
  <r>
    <s v="T20250708-98"/>
    <x v="1"/>
    <s v="M03"/>
    <s v="Realizar reporte de performance diario para FL/BL y KAD"/>
    <x v="0"/>
    <x v="2"/>
    <x v="1"/>
    <m/>
    <s v="https://dpdhl.sharepoint.com/:f:/r/teams/CSManagement962/Shared%20Documents/General/Directorio%20COE/M3%20-%20Reportes/Daily%20Customer%20Service%20Performance%20Report?csf=1&amp;web=1&amp;e=hUsw3t"/>
    <m/>
    <m/>
    <m/>
    <s v="M03-05"/>
    <s v="Presionar Ctrl+Shift+E"/>
    <x v="0"/>
    <m/>
  </r>
  <r>
    <s v="T20250708-99"/>
    <x v="1"/>
    <s v="M03"/>
    <s v="Realizar reporte de análisis de IVR mensual"/>
    <x v="0"/>
    <x v="1"/>
    <x v="1"/>
    <m/>
    <s v="https://dpdhl.sharepoint.com/:f:/r/teams/CSManagement962/Shared%20Documents/General/Directorio%20COE/M3%20-%20Reportes/IVR?csf=1&amp;web=1&amp;e=m8vXcg"/>
    <m/>
    <m/>
    <m/>
    <s v="M03-06"/>
    <s v="Presionar Ctrl+Shift+E"/>
    <x v="0"/>
    <m/>
  </r>
  <r>
    <s v="T20250708-100"/>
    <x v="1"/>
    <s v="M03"/>
    <s v="Realizar reporte de mails diario para agentes de FL/BL y KAD"/>
    <x v="0"/>
    <x v="2"/>
    <x v="1"/>
    <m/>
    <s v="https://dpdhl.sharepoint.com/:f:/r/teams/CSManagement962/Shared%20Documents/General/Directorio%20COE/M3%20-%20Reportes/MCT%20PA%20Report?csf=1&amp;web=1&amp;e=ObM0PZ"/>
    <m/>
    <m/>
    <m/>
    <s v="M03-08"/>
    <s v="Presionar Ctrl+Shift+E"/>
    <x v="0"/>
    <m/>
  </r>
  <r>
    <s v="T20250708-101"/>
    <x v="1"/>
    <s v="M03"/>
    <s v="Realizar reporte de Chat diario para agentes de FL/KAD"/>
    <x v="0"/>
    <x v="2"/>
    <x v="1"/>
    <m/>
    <s v="https://app.powerbi.com/groups/me/apps/a91e7e0a-1652-440f-8f81-79fa9459f076/reports/e7d5de1f-4e51-45de-a0b6-ee08e97b1b3a/ReportSection?ctid=cd99fef8-1cd3-4a2a-9bdf-15531181d65e&amp;experience=power-bi"/>
    <m/>
    <m/>
    <m/>
    <s v="M03-09"/>
    <s v="Presionar Ctrl+Shift+E"/>
    <x v="0"/>
    <m/>
  </r>
  <r>
    <s v="T20250708-102"/>
    <x v="1"/>
    <s v="M03"/>
    <s v="Realizar reporte de Aging diario para agentes de BL/KAD y supervisores analizan casos de mayor aging con agentes"/>
    <x v="0"/>
    <x v="2"/>
    <x v="3"/>
    <m/>
    <s v="https://app.powerbi.com/groups/me/apps/a91e7e0a-1652-440f-8f81-79fa9459f076/reports/3cbaff75-757e-4736-86c5-6a5a6ad7fe62/ReportSection?ctid=cd99fef8-1cd3-4a2a-9bdf-15531181d65e&amp;experience=power-bi"/>
    <m/>
    <m/>
    <m/>
    <s v="M03-10"/>
    <s v="Presionar Ctrl+Shift+E"/>
    <x v="0"/>
    <m/>
  </r>
  <r>
    <s v="T20250708-103"/>
    <x v="1"/>
    <s v="M03"/>
    <s v="Realizar reporte de Aging diario para agentes de BL/KAD y supervisores analizan casos de mayor aging con agentes"/>
    <x v="0"/>
    <x v="2"/>
    <x v="1"/>
    <m/>
    <s v="https://app.powerbi.com/groups/me/apps/a91e7e0a-1652-440f-8f81-79fa9459f076/reports/3cbaff75-757e-4736-86c5-6a5a6ad7fe62/ReportSection?ctid=cd99fef8-1cd3-4a2a-9bdf-15531181d65e&amp;experience=power-bi"/>
    <m/>
    <m/>
    <m/>
    <s v="M03-10"/>
    <s v="Presionar Ctrl+Shift+E"/>
    <x v="0"/>
    <m/>
  </r>
  <r>
    <s v="T20250708-104"/>
    <x v="1"/>
    <s v="M03"/>
    <s v="Realizar reporte de uso PPMT para todos mensualmente"/>
    <x v="0"/>
    <x v="1"/>
    <x v="1"/>
    <m/>
    <s v="https://dpdhl.sharepoint.com/:f:/r/teams/CSManagement962/Shared%20Documents/General/Directorio%20COE/M3%20-%20Reportes/PPMT?csf=1&amp;web=1&amp;e=BO2pEW"/>
    <m/>
    <m/>
    <m/>
    <s v="M03-11"/>
    <s v="Presionar Ctrl+Shift+E"/>
    <x v="0"/>
    <m/>
  </r>
  <r>
    <s v="T20250708-105"/>
    <x v="1"/>
    <s v="M03"/>
    <s v="Realizar reporte de Scorecard mensual desde PPMT"/>
    <x v="0"/>
    <x v="1"/>
    <x v="1"/>
    <m/>
    <s v="https://dpdhl.sharepoint.com/:x:/r/teams/CSManagement962/Shared%20Documents/General/Directorio%20COE/P1%20-%20Incentivos%20CS/2025/scorecard-summary-export%202025.xlsx?d=w6e19525b55f6457d918d69c357d79c10&amp;csf=1&amp;web=1&amp;e=bwsk1M"/>
    <m/>
    <m/>
    <m/>
    <s v="M03-13"/>
    <s v="Presionar Ctrl+Shift+E"/>
    <x v="0"/>
    <m/>
  </r>
  <r>
    <s v="T20250708-106"/>
    <x v="1"/>
    <s v="M04"/>
    <s v="M04.1: Asegurar que los datos recolectados sean relevantes, precisos, utilizados de forma correcta y comprendidos"/>
    <x v="0"/>
    <x v="1"/>
    <x v="1"/>
    <m/>
    <s v="https://dpdhl.sharepoint.com/:f:/r/teams/CSManagement962/Shared%20Documents/General/Directorio%20COE/M4%20-%20Consistencia%20datos?csf=1&amp;web=1&amp;e=S6x70T"/>
    <m/>
    <s v="CSD realiza una auditoría trimestral de los procesos de recolección de datos para asegurar su integridad y relevancia."/>
    <s v="Mapear fuentes de datos;Validar precisión de una muestra de datos"/>
    <s v="M04-01"/>
    <s v="Presionar Ctrl+Shift+E"/>
    <x v="0"/>
    <m/>
  </r>
  <r>
    <s v="T20250708-107"/>
    <x v="1"/>
    <s v="M05"/>
    <s v="M05.1: Revisar diariamente resultados de desempeño e implementar acciones correctivas y documentar evidencia de seguimiento"/>
    <x v="0"/>
    <x v="2"/>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8"/>
    <x v="1"/>
    <s v="M05"/>
    <s v="M05.1: Revisar diariamente resultados de desempeño e implementar acciones correctivas y documentar evidencia de seguimiento"/>
    <x v="0"/>
    <x v="2"/>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8-109"/>
    <x v="1"/>
    <s v="M06"/>
    <s v="M06.1: Rastrear, analizar y generar tendencias de resultados de QM"/>
    <x v="0"/>
    <x v="1"/>
    <x v="1"/>
    <m/>
    <s v="https://dpdhl.sharepoint.com/:f:/r/teams/CSManagement962/Shared%20Documents/General/Directorio%20COE/M6%20-%20seguimiento%20monitoreos/2025?csf=1&amp;web=1&amp;e=tJyoXG"/>
    <m/>
    <s v="CSD genera y analiza mensualmente los reportes de tendencias de Calidad para identificar fortalezas y debilidades a nivel departamental."/>
    <s v="Generar reporte de tendencias de QM;Analizar resultados;Presentar a Gerencia"/>
    <s v="M06-01"/>
    <s v="Presionar Ctrl+Shift+E"/>
    <x v="0"/>
    <m/>
  </r>
  <r>
    <s v="T20250708-110"/>
    <x v="1"/>
    <s v="M06"/>
    <s v="Determinar capacitaciones, feedback o coaching, charlas en PDs o reuniones de equipo derivadas de oportunidades en los monitoreos de calidad"/>
    <x v="0"/>
    <x v="0"/>
    <x v="0"/>
    <d v="2025-07-08T00:00:00"/>
    <s v="https://app.getguru.com/folders/c9b4xoqi/M6-anlisis-monitoreos"/>
    <m/>
    <m/>
    <m/>
    <s v="M06-02"/>
    <s v="Presionar Ctrl+Shift+E"/>
    <x v="0"/>
    <n v="0"/>
  </r>
  <r>
    <s v="T20250708-111"/>
    <x v="1"/>
    <s v="M06"/>
    <s v="Determinar capacitaciones, feedback o coaching, charlas en PDs o reuniones de equipo derivadas de oportunidades en los monitoreos de calidad"/>
    <x v="0"/>
    <x v="1"/>
    <x v="2"/>
    <m/>
    <s v="https://app.getguru.com/folders/c9b4xoqi/M6-anlisis-monitoreos"/>
    <m/>
    <m/>
    <m/>
    <s v="M06-02"/>
    <s v="Presionar Ctrl+Shift+E"/>
    <x v="0"/>
    <m/>
  </r>
  <r>
    <s v="T20250708-112"/>
    <x v="1"/>
    <s v="M06"/>
    <s v="Determinar capacitaciones, feedback o coaching, charlas en PDs o reuniones de equipo derivadas de oportunidades en los monitoreos de calidad"/>
    <x v="0"/>
    <x v="1"/>
    <x v="3"/>
    <m/>
    <s v="https://app.getguru.com/folders/c9b4xoqi/M6-anlisis-monitoreos"/>
    <m/>
    <m/>
    <m/>
    <s v="M06-02"/>
    <s v="Presionar Ctrl+Shift+E"/>
    <x v="0"/>
    <m/>
  </r>
  <r>
    <s v="T20250708-113"/>
    <x v="1"/>
    <s v="M06"/>
    <s v="Documentar evidencia de entrenamientos derivadas de oportunidades en los monitoreos de calidad"/>
    <x v="0"/>
    <x v="1"/>
    <x v="2"/>
    <m/>
    <s v="https://dpdhl.sharepoint.com/:f:/r/teams/CSManagement962/Shared%20Documents/General/Directorio%20COE/P4%20-%20Roadmap/2025/Evidencia?csf=1&amp;web=1&amp;e=yBEhTo"/>
    <m/>
    <m/>
    <m/>
    <s v="M06-03"/>
    <s v="Presionar Ctrl+Shift+E"/>
    <x v="0"/>
    <m/>
  </r>
  <r>
    <s v="T20250708-114"/>
    <x v="1"/>
    <s v="M06"/>
    <s v="Documentar evidencia de entrenamientos derivadas de oportunidades en los monitoreos de calidad"/>
    <x v="0"/>
    <x v="1"/>
    <x v="3"/>
    <m/>
    <s v="https://dpdhl.sharepoint.com/:f:/r/teams/CSManagement962/Shared%20Documents/General/Directorio%20COE/P4%20-%20Roadmap/2025/Evidencia?csf=1&amp;web=1&amp;e=yBEhTo"/>
    <m/>
    <m/>
    <m/>
    <s v="M06-03"/>
    <s v="Presionar Ctrl+Shift+E"/>
    <x v="0"/>
    <m/>
  </r>
  <r>
    <s v="T20250708-115"/>
    <x v="1"/>
    <s v="M06"/>
    <s v="Documentar evidencia de entrenamientos derivadas de oportunidades en los monitoreos de calidad"/>
    <x v="0"/>
    <x v="1"/>
    <x v="1"/>
    <m/>
    <s v="https://dpdhl.sharepoint.com/:f:/r/teams/CSManagement962/Shared%20Documents/General/Directorio%20COE/P4%20-%20Roadmap/2025/Evidencia?csf=1&amp;web=1&amp;e=yBEhTo"/>
    <m/>
    <m/>
    <m/>
    <s v="M06-03"/>
    <s v="Presionar Ctrl+Shift+E"/>
    <x v="0"/>
    <m/>
  </r>
  <r>
    <s v="T20250708-116"/>
    <x v="1"/>
    <s v="M07"/>
    <s v="M07.1: Analizar resultados Programa de Evaluación de Calidad Independiente (Mystery Shopper)"/>
    <x v="0"/>
    <x v="1"/>
    <x v="1"/>
    <m/>
    <s v="https://dpdhl.sharepoint.com/:f:/r/teams/CSManagement962/Shared%20Documents/General/Directorio%20COE/M7%20-%20Mystery%20Shopper?csf=1&amp;web=1&amp;e=q3WY5n"/>
    <m/>
    <s v="CSD analiza resultados de la ejecución trimestral del programa de Mystery Shopper, ya sea con un proveedor externo o un equipo interno independiente."/>
    <s v="Coordinar ejecución de Mystery Shopper;Recibir y analizar resultados;Compartir con Supervisores"/>
    <s v="M07-01"/>
    <s v="Presionar Ctrl+Shift+E"/>
    <x v="0"/>
    <m/>
  </r>
  <r>
    <s v="T20250708-117"/>
    <x v="1"/>
    <s v="M07"/>
    <s v="Compartir resultados Mystery Shopper"/>
    <x v="0"/>
    <x v="1"/>
    <x v="1"/>
    <m/>
    <s v="https://app.powerbi.com/groups/me/apps/a91e7e0a-1652-440f-8f81-79fa9459f076/reports/d77cde04-8a10-48a7-92d7-d7413fd3b367/00707e2f9dc3cd968894?ctid=cd99fef8-1cd3-4a2a-9bdf-15531181d65e&amp;experience=power-bi"/>
    <m/>
    <m/>
    <m/>
    <s v="M07-02"/>
    <s v="Presionar Ctrl+Shift+E"/>
    <x v="0"/>
    <m/>
  </r>
  <r>
    <s v="T20250708-118"/>
    <x v="1"/>
    <s v="M08"/>
    <s v="M08.1: Evaluar y analizar trimestralmente resultados de IMSP vs Monitoreos propios"/>
    <x v="0"/>
    <x v="1"/>
    <x v="1"/>
    <m/>
    <s v="https://dpdhl.sharepoint.com/:f:/r/teams/CSManagement962/Shared%20Documents/General/Directorio%20COE/M8%20-%20Analisis%20MS-monitoreos?csf=1&amp;web=1&amp;e=6i8MG0"/>
    <m/>
    <s v="CSD o responsable designado analiza los resultados trimestrales del programa de auto-monitoreo del personal (IMSP) si está implementado."/>
    <s v="Recopilar y analizar datos de IMSP;Generar reporte de resultados"/>
    <s v="M08-01"/>
    <s v="Presionar Ctrl+Shift+E"/>
    <x v="0"/>
    <m/>
  </r>
  <r>
    <s v="T20250708-119"/>
    <x v="2"/>
    <s v="P01"/>
    <s v="Documentar y comunicar programa SMART de incentivos y reconocimiento"/>
    <x v="0"/>
    <x v="0"/>
    <x v="0"/>
    <d v="2025-07-08T00:00:00"/>
    <s v="https://app.getguru.com/folders/ikdoLXeT/P1"/>
    <m/>
    <s v="Revisar y comunicar el programa de reconocimiento, asegurando que los criterios son SMART y conocidos por todos."/>
    <s v="Revisar criterios del programa;Comunicar programa en reunión departamental;Publicar ganadores"/>
    <s v="P01-01"/>
    <s v="Presionar Ctrl+Shift+E"/>
    <x v="0"/>
    <n v="0"/>
  </r>
  <r>
    <s v="T20250708-120"/>
    <x v="2"/>
    <s v="P01"/>
    <s v="Generar y actualizar calculadora para facilitar comprensión del scorecard para los agentes"/>
    <x v="0"/>
    <x v="1"/>
    <x v="1"/>
    <m/>
    <s v="https://dpdhl.sharepoint.com/:f:/r/teams/CSManagement962/Shared%20Documents/General/Directorio%20COE/P1%20-%20Incentivos%20CS/2025/Calculo%20comisiones?csf=1&amp;web=1&amp;e=Q9HYWo"/>
    <m/>
    <m/>
    <m/>
    <s v="P01-02"/>
    <s v="Presionar Ctrl+Shift+E"/>
    <x v="0"/>
    <m/>
  </r>
  <r>
    <s v="T20250708-121"/>
    <x v="2"/>
    <s v="P01"/>
    <s v="Hacer cálculos de incentivos mensuales y comunicarlos a los agentes"/>
    <x v="0"/>
    <x v="0"/>
    <x v="0"/>
    <d v="2025-07-08T00:00:00"/>
    <s v="https://dpdhl.sharepoint.com/:f:/r/teams/CSManagement962/Shared%20Documents/General/Directorio%20COE/P1%20-%20Incentivos%20CS/2025?csf=1&amp;web=1&amp;e=jBZOOK"/>
    <m/>
    <m/>
    <m/>
    <s v="P01-03"/>
    <s v="Presionar Ctrl+Shift+E"/>
    <x v="0"/>
    <n v="0"/>
  </r>
  <r>
    <s v="T20250708-122"/>
    <x v="2"/>
    <s v="P01"/>
    <s v="Hacer cálculos de incentivos mensuales y comunicarlos a los agentes"/>
    <x v="0"/>
    <x v="1"/>
    <x v="2"/>
    <m/>
    <s v="https://dpdhl.sharepoint.com/:f:/r/teams/CSManagement962/Shared%20Documents/General/Directorio%20COE/P1%20-%20Incentivos%20CS/2025?csf=1&amp;web=1&amp;e=jBZOOK"/>
    <m/>
    <m/>
    <m/>
    <s v="P01-03"/>
    <s v="Presionar Ctrl+Shift+E"/>
    <x v="0"/>
    <m/>
  </r>
  <r>
    <s v="T20250708-123"/>
    <x v="2"/>
    <s v="P01"/>
    <s v="Hacer cálculos de incentivos mensuales y comunicarlos a los agentes"/>
    <x v="0"/>
    <x v="1"/>
    <x v="3"/>
    <m/>
    <s v="https://dpdhl.sharepoint.com/:f:/r/teams/CSManagement962/Shared%20Documents/General/Directorio%20COE/P1%20-%20Incentivos%20CS/2025?csf=1&amp;web=1&amp;e=jBZOOK"/>
    <m/>
    <m/>
    <m/>
    <s v="P01-03"/>
    <s v="Presionar Ctrl+Shift+E"/>
    <x v="0"/>
    <m/>
  </r>
  <r>
    <s v="T20250708-124"/>
    <x v="2"/>
    <s v="P01"/>
    <s v="Hacer cálculos de incentivos mensuales y comunicarlos a los agentes"/>
    <x v="0"/>
    <x v="1"/>
    <x v="1"/>
    <m/>
    <s v="https://dpdhl.sharepoint.com/:f:/r/teams/CSManagement962/Shared%20Documents/General/Directorio%20COE/P1%20-%20Incentivos%20CS/2025?csf=1&amp;web=1&amp;e=jBZOOK"/>
    <m/>
    <m/>
    <m/>
    <s v="P01-03"/>
    <s v="Presionar Ctrl+Shift+E"/>
    <x v="0"/>
    <m/>
  </r>
  <r>
    <s v="T20250708-125"/>
    <x v="2"/>
    <s v="P02"/>
    <s v="Implementar sistema de reconocimiento para top performers"/>
    <x v="0"/>
    <x v="0"/>
    <x v="0"/>
    <d v="2025-07-08T00:00:00"/>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n v="0"/>
  </r>
  <r>
    <s v="T20250708-126"/>
    <x v="2"/>
    <s v="P02"/>
    <s v="Implementar sistema de reconocimiento para top performers"/>
    <x v="0"/>
    <x v="1"/>
    <x v="2"/>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7"/>
    <x v="2"/>
    <s v="P02"/>
    <s v="Implementar sistema de reconocimiento para top performers"/>
    <x v="0"/>
    <x v="1"/>
    <x v="3"/>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8"/>
    <x v="2"/>
    <s v="P02"/>
    <s v="Implementar sistema de reconocimiento para top performers"/>
    <x v="0"/>
    <x v="1"/>
    <x v="1"/>
    <m/>
    <s v="https://app.getguru.com/card/czAkLdRi/Instructivo-empleados-del-mes-y-del-ao-2025"/>
    <m/>
    <s v="Ejecutar el programa de reconocimiento no financiero (ej. menciones, agradecimientos públicos) para los mejores desempeños del mes."/>
    <s v="Identificar top performers del mes;Realizar reconocimiento público/escrito"/>
    <s v="P02-01"/>
    <s v="Presionar Ctrl+Shift+E"/>
    <x v="0"/>
    <m/>
  </r>
  <r>
    <s v="T20250708-129"/>
    <x v="2"/>
    <s v="P04"/>
    <s v="Establecer y mantener roadmap de capacitación estructurado"/>
    <x v="0"/>
    <x v="0"/>
    <x v="0"/>
    <d v="2025-07-08T00:00:00"/>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n v="0"/>
  </r>
  <r>
    <s v="T20250708-130"/>
    <x v="2"/>
    <s v="P04"/>
    <s v="Establecer y mantener roadmap de capacitación estructurado"/>
    <x v="0"/>
    <x v="1"/>
    <x v="1"/>
    <m/>
    <s v="https://dpdhl.sharepoint.com/:f:/r/teams/CSManagement962/Shared%20Documents/General/Directorio%20COE/P4%20-%20Roadmap/2025?csf=1&amp;web=1&amp;e=BtT13Q"/>
    <m/>
    <s v="CSD y Gerencia revisan y actualizan anualmente el plan o roadmap de capacitación de refuerzo para todo el personal."/>
    <s v="Analizar necesidades de capacitación;Definir temas para cada trimestre;Publicar roadmap"/>
    <s v="P04-01"/>
    <s v="Presionar Ctrl+Shift+E"/>
    <x v="0"/>
    <m/>
  </r>
  <r>
    <s v="T20250708-131"/>
    <x v="2"/>
    <s v="P04"/>
    <s v="Dar visibilidad a agentes del plan de entrenamiento (Roadmap) y asegurar su comprensión"/>
    <x v="0"/>
    <x v="1"/>
    <x v="2"/>
    <m/>
    <s v="https://app.getguru.com/card/TpRMeXKc/P4-Roadmap"/>
    <m/>
    <m/>
    <m/>
    <s v="P04-02"/>
    <s v="Presionar Ctrl+Shift+E"/>
    <x v="0"/>
    <m/>
  </r>
  <r>
    <s v="T20250708-132"/>
    <x v="2"/>
    <s v="P04"/>
    <s v="Dar visibilidad a agentes del plan de entrenamiento (Roadmap) y asegurar su comprensión"/>
    <x v="0"/>
    <x v="1"/>
    <x v="3"/>
    <m/>
    <s v="https://app.getguru.com/card/TpRMeXKc/P4-Roadmap"/>
    <m/>
    <m/>
    <m/>
    <s v="P04-02"/>
    <s v="Presionar Ctrl+Shift+E"/>
    <x v="0"/>
    <m/>
  </r>
  <r>
    <s v="T20250708-133"/>
    <x v="2"/>
    <s v="P04"/>
    <s v="Generar cursos de acuerdo con IDPs de agentes"/>
    <x v="0"/>
    <x v="1"/>
    <x v="2"/>
    <m/>
    <m/>
    <m/>
    <m/>
    <m/>
    <s v="P04-03"/>
    <s v="Presionar Ctrl+Shift+E"/>
    <x v="0"/>
    <m/>
  </r>
  <r>
    <s v="T20250708-134"/>
    <x v="2"/>
    <s v="P04"/>
    <s v="Generar cursos de acuerdo con IDPs de agentes"/>
    <x v="0"/>
    <x v="1"/>
    <x v="3"/>
    <m/>
    <m/>
    <m/>
    <m/>
    <m/>
    <s v="P04-03"/>
    <s v="Presionar Ctrl+Shift+E"/>
    <x v="0"/>
    <m/>
  </r>
  <r>
    <s v="T20250708-135"/>
    <x v="2"/>
    <s v="P04"/>
    <s v="Generar cursos de acuerdo con resultado de los Quiz, cuando se detectan oportunidades"/>
    <x v="0"/>
    <x v="1"/>
    <x v="1"/>
    <m/>
    <m/>
    <m/>
    <m/>
    <m/>
    <s v="P04-04"/>
    <s v="Presionar Ctrl+Shift+E"/>
    <x v="0"/>
    <m/>
  </r>
  <r>
    <s v="T20250708-136"/>
    <x v="2"/>
    <s v="P04"/>
    <s v="Generación de cursos de acuerdo con Oportunidades observadas en los coachings"/>
    <x v="0"/>
    <x v="1"/>
    <x v="2"/>
    <m/>
    <m/>
    <m/>
    <m/>
    <m/>
    <s v="P04-05"/>
    <s v="Presionar Ctrl+Shift+E"/>
    <x v="0"/>
    <m/>
  </r>
  <r>
    <s v="T20250708-137"/>
    <x v="2"/>
    <s v="P04"/>
    <s v="Generación de cursos de acuerdo con Oportunidades observadas en los coachings"/>
    <x v="0"/>
    <x v="1"/>
    <x v="3"/>
    <m/>
    <m/>
    <m/>
    <m/>
    <m/>
    <s v="P04-05"/>
    <s v="Presionar Ctrl+Shift+E"/>
    <x v="0"/>
    <m/>
  </r>
  <r>
    <s v="T20250708-138"/>
    <x v="2"/>
    <s v="P04"/>
    <s v="Generación de cursos de acuerdo con Oportunidades observadas en los reportes"/>
    <x v="0"/>
    <x v="1"/>
    <x v="2"/>
    <m/>
    <s v="https://app.getguru.com/card/TER9nezc/M5-FEEDBACKS-"/>
    <m/>
    <m/>
    <m/>
    <s v="P04-06"/>
    <s v="Presionar Ctrl+Shift+E"/>
    <x v="0"/>
    <m/>
  </r>
  <r>
    <s v="T20250708-139"/>
    <x v="2"/>
    <s v="P04"/>
    <s v="Generación de cursos de acuerdo con Oportunidades observadas en los reportes"/>
    <x v="0"/>
    <x v="1"/>
    <x v="3"/>
    <m/>
    <s v="https://app.getguru.com/card/TER9nezc/M5-FEEDBACKS-"/>
    <m/>
    <m/>
    <m/>
    <s v="P04-06"/>
    <s v="Presionar Ctrl+Shift+E"/>
    <x v="0"/>
    <m/>
  </r>
  <r>
    <s v="T20250708-140"/>
    <x v="2"/>
    <s v="P04"/>
    <s v="Generación de cursos de acuerdo con Oportunidades observadas en los monitoreos de calidad"/>
    <x v="0"/>
    <x v="1"/>
    <x v="2"/>
    <m/>
    <s v="https://app.getguru.com/folders/c9b4xoqi/M6-anlisis-monitoreos"/>
    <m/>
    <m/>
    <m/>
    <s v="P04-07"/>
    <s v="Presionar Ctrl+Shift+E"/>
    <x v="0"/>
    <m/>
  </r>
  <r>
    <s v="T20250708-141"/>
    <x v="2"/>
    <s v="P04"/>
    <s v="Generación de cursos de acuerdo con Oportunidades observadas en los monitoreos de calidad"/>
    <x v="0"/>
    <x v="1"/>
    <x v="3"/>
    <m/>
    <s v="https://app.getguru.com/folders/c9b4xoqi/M6-anlisis-monitoreos"/>
    <m/>
    <m/>
    <m/>
    <s v="P04-07"/>
    <s v="Presionar Ctrl+Shift+E"/>
    <x v="0"/>
    <m/>
  </r>
  <r>
    <s v="T20250708-142"/>
    <x v="2"/>
    <s v="P05"/>
    <s v="Realizar ejercicios de verificación de habilidades y conocimiento (Quiz) y planes de acción de acuerdo con resultados"/>
    <x v="0"/>
    <x v="1"/>
    <x v="1"/>
    <m/>
    <s v="https://dpdhl.sharepoint.com/:f:/r/teams/CSManagement962/Shared%20Documents/General/Directorio%20COE/P5%20Quiz?csf=1&amp;web=1&amp;e=U3iIF5"/>
    <m/>
    <s v="CSD realizan ejercicios prácticos o teóricos mensuales para validar que el conocimiento se mantiene fresco."/>
    <s v="Ejecutar ejercicio de conocimiento FL;Ejecutar ejercicio de conocimiento BL/KAD"/>
    <s v="P05-01"/>
    <s v="Presionar Ctrl+Shift+E"/>
    <x v="0"/>
    <m/>
  </r>
  <r>
    <s v="T20250708-143"/>
    <x v="2"/>
    <s v="P05"/>
    <s v="Realizar correciones de los Quiz y comunicación de resultados al equipo, definiendo nota de aprobación"/>
    <x v="0"/>
    <x v="1"/>
    <x v="1"/>
    <m/>
    <s v="https://app.getguru.com/card/TARdK9Mc/Skill-Verification-Quiz"/>
    <m/>
    <m/>
    <m/>
    <s v="P05-02"/>
    <s v="Presionar Ctrl+Shift+E"/>
    <x v="0"/>
    <m/>
  </r>
  <r>
    <s v="T20250708-144"/>
    <x v="2"/>
    <s v="P07"/>
    <s v="Establecer programa de coaching formalizado para agentes de CS y ejecutarlo mensualmente"/>
    <x v="0"/>
    <x v="0"/>
    <x v="0"/>
    <d v="2025-07-08T00:00:00"/>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n v="0"/>
  </r>
  <r>
    <s v="T20250708-145"/>
    <x v="2"/>
    <s v="P07"/>
    <s v="Establecer programa de coaching formalizado para agentes de CS y ejecutarlo mensualmente"/>
    <x v="0"/>
    <x v="1"/>
    <x v="2"/>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6"/>
    <x v="2"/>
    <s v="P07"/>
    <s v="Establecer programa de coaching formalizado para agentes de CS y ejecutarlo mensualmente"/>
    <x v="0"/>
    <x v="1"/>
    <x v="3"/>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7"/>
    <x v="2"/>
    <s v="P07"/>
    <s v="Establecer programa de coaching formalizado para agentes de CS y ejecutarlo mensualmente"/>
    <x v="0"/>
    <x v="1"/>
    <x v="1"/>
    <m/>
    <s v="https://dpdhl.sharepoint.com/:f:/r/teams/CSManagement962/Shared%20Documents/General/Directorio%20COE/P7%20-%20Coaching/2025?csf=1&amp;web=1&amp;e=IeTkiZ"/>
    <m/>
    <s v="Revisión mensual de coaching con todos los agentes."/>
    <s v="Muestrear registros de coaching;Validar cumplimiento de frecuencia;Dar feedback individual"/>
    <s v="P07-01"/>
    <s v="Presionar Ctrl+Shift+E"/>
    <x v="0"/>
    <m/>
  </r>
  <r>
    <s v="T20250708-148"/>
    <x v="2"/>
    <s v="P07"/>
    <s v="Programar sesiones de coaching mensual para todos los agentes en períodos Non-peak"/>
    <x v="0"/>
    <x v="1"/>
    <x v="1"/>
    <m/>
    <s v="http://am-node-awe.dpdhl.com/wfo/control/signout?_=1751564804324"/>
    <m/>
    <m/>
    <m/>
    <s v="P07-02"/>
    <s v="Presionar Ctrl+Shift+E"/>
    <x v="0"/>
    <m/>
  </r>
  <r>
    <s v="T20250708-149"/>
    <x v="2"/>
    <s v="P07"/>
    <s v="Aseguirar registro para dar visibilidad del coaching mensual a los agentes de cada equipo"/>
    <x v="0"/>
    <x v="1"/>
    <x v="2"/>
    <m/>
    <s v="https://app.getguru.com/card/iR57EeMT/P7-Coaching-Form"/>
    <m/>
    <m/>
    <m/>
    <s v="P07-03"/>
    <s v="Presionar Ctrl+Shift+E"/>
    <x v="0"/>
    <m/>
  </r>
  <r>
    <s v="T20250708-150"/>
    <x v="2"/>
    <s v="P07"/>
    <s v="Aseguirar registro para dar visibilidad del coaching mensual a los agentes de cada equipo"/>
    <x v="0"/>
    <x v="1"/>
    <x v="3"/>
    <m/>
    <s v="https://app.getguru.com/card/iR57EeMT/P7-Coaching-Form"/>
    <m/>
    <m/>
    <m/>
    <s v="P07-03"/>
    <s v="Presionar Ctrl+Shift+E"/>
    <x v="0"/>
    <m/>
  </r>
  <r>
    <s v="T20250708-151"/>
    <x v="2"/>
    <s v="P07"/>
    <s v="Aseguirar registro para dar visibilidad del coaching mensual a los agentes de cada equipo"/>
    <x v="0"/>
    <x v="1"/>
    <x v="1"/>
    <m/>
    <s v="https://app.getguru.com/card/iR57EeMT/P7-Coaching-Form"/>
    <m/>
    <m/>
    <m/>
    <s v="P07-03"/>
    <s v="Presionar Ctrl+Shift+E"/>
    <x v="0"/>
    <m/>
  </r>
  <r>
    <s v="T20250708-152"/>
    <x v="2"/>
    <s v="P07"/>
    <s v="Realizar feedback inmediato a los agentes con baja performance en algún KPI según corresponda"/>
    <x v="0"/>
    <x v="2"/>
    <x v="2"/>
    <m/>
    <s v="https://csacademy.dhl.com/#/"/>
    <m/>
    <m/>
    <m/>
    <s v="P07-04"/>
    <s v="Presionar Ctrl+Shift+E"/>
    <x v="0"/>
    <m/>
  </r>
  <r>
    <s v="T20250708-153"/>
    <x v="2"/>
    <s v="P07"/>
    <s v="Realizar feedback inmediato a los agentes con baja performance en algún KPI según corresponda"/>
    <x v="0"/>
    <x v="2"/>
    <x v="3"/>
    <m/>
    <s v="https://csacademy.dhl.com/#/"/>
    <m/>
    <m/>
    <m/>
    <s v="P07-04"/>
    <s v="Presionar Ctrl+Shift+E"/>
    <x v="0"/>
    <m/>
  </r>
  <r>
    <s v="T20250708-154"/>
    <x v="2"/>
    <s v="P08"/>
    <s v="Realizar coaching mensual en formato T-GROW para cada agente"/>
    <x v="0"/>
    <x v="0"/>
    <x v="0"/>
    <d v="2025-07-08T00:00:00"/>
    <s v="https://csacademy.dhl.com/#/"/>
    <m/>
    <s v="Supervisores se aseguran de usar el modelo T-GROW en todas sus sesiones de coaching. La tarea es la preparación y ejecución correcta."/>
    <s v="Preparar sesión de coaching usando T-GROW;Realizar y documentar sesión"/>
    <s v="P08-01"/>
    <s v="Presionar Ctrl+Shift+E"/>
    <x v="0"/>
    <n v="0"/>
  </r>
  <r>
    <s v="T20250708-155"/>
    <x v="2"/>
    <s v="P08"/>
    <s v="Realizar coaching mensual en formato T-GROW para cada agente"/>
    <x v="0"/>
    <x v="1"/>
    <x v="2"/>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6"/>
    <x v="2"/>
    <s v="P08"/>
    <s v="Realizar coaching mensual en formato T-GROW para cada agente"/>
    <x v="0"/>
    <x v="1"/>
    <x v="3"/>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7"/>
    <x v="2"/>
    <s v="P08"/>
    <s v="Realizar coaching mensual en formato T-GROW para cada agente"/>
    <x v="0"/>
    <x v="1"/>
    <x v="1"/>
    <m/>
    <s v="https://csacademy.dhl.com/#/"/>
    <m/>
    <s v="Supervisores se aseguran de usar el modelo T-GROW en todas sus sesiones de coaching. La tarea es la preparación y ejecución correcta."/>
    <s v="Preparar sesión de coaching usando T-GROW;Realizar y documentar sesión"/>
    <s v="P08-01"/>
    <s v="Presionar Ctrl+Shift+E"/>
    <x v="0"/>
    <m/>
  </r>
  <r>
    <s v="T20250708-158"/>
    <x v="2"/>
    <s v="P09"/>
    <s v="Realizar ejercicios de calibración de QM trimestrales"/>
    <x v="0"/>
    <x v="0"/>
    <x v="0"/>
    <d v="2025-07-08T00:00:00"/>
    <m/>
    <m/>
    <s v="Realizar sesiones de calibración trimestrales entre todos los roles que evalúan calidad para asegurar consistencia."/>
    <s v="Preparar interacciones a calibrar;Realizar sesión de calibración;Documentar resultados"/>
    <s v="P09-01"/>
    <s v="Presionar Ctrl+Shift+E"/>
    <x v="0"/>
    <n v="0"/>
  </r>
  <r>
    <s v="T20250708-159"/>
    <x v="2"/>
    <s v="P09"/>
    <s v="Realizar ejercicios de calibración de QM trimestrales"/>
    <x v="0"/>
    <x v="1"/>
    <x v="2"/>
    <m/>
    <m/>
    <m/>
    <s v="Realizar sesiones de calibración trimestrales entre todos los roles que evalúan calidad para asegurar consistencia."/>
    <s v="Preparar interacciones a calibrar;Realizar sesión de calibración;Documentar resultados"/>
    <s v="P09-01"/>
    <s v="Presionar Ctrl+Shift+E"/>
    <x v="0"/>
    <m/>
  </r>
  <r>
    <s v="T20250708-160"/>
    <x v="2"/>
    <s v="P09"/>
    <s v="Realizar ejercicios de calibración de QM trimestrales"/>
    <x v="0"/>
    <x v="1"/>
    <x v="3"/>
    <m/>
    <m/>
    <m/>
    <s v="Realizar sesiones de calibración trimestrales entre todos los roles que evalúan calidad para asegurar consistencia."/>
    <s v="Preparar interacciones a calibrar;Realizar sesión de calibración;Documentar resultados"/>
    <s v="P09-01"/>
    <s v="Presionar Ctrl+Shift+E"/>
    <x v="0"/>
    <m/>
  </r>
  <r>
    <s v="T20250708-161"/>
    <x v="2"/>
    <s v="P09"/>
    <s v="Realizar ejercicios de calibración de QM trimestrales"/>
    <x v="0"/>
    <x v="1"/>
    <x v="1"/>
    <m/>
    <m/>
    <m/>
    <s v="Realizar sesiones de calibración trimestrales entre todos los roles que evalúan calidad para asegurar consistencia."/>
    <s v="Preparar interacciones a calibrar;Realizar sesión de calibración;Documentar resultados"/>
    <s v="P09-01"/>
    <s v="Presionar Ctrl+Shift+E"/>
    <x v="0"/>
    <m/>
  </r>
  <r>
    <s v="T20250708-162"/>
    <x v="2"/>
    <s v="P10"/>
    <s v="Realizar monitoreos de calidad regulares según cuota mensual para todos los agentes"/>
    <x v="0"/>
    <x v="1"/>
    <x v="2"/>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3"/>
    <x v="2"/>
    <s v="P10"/>
    <s v="Realizar monitoreos de calidad regulares según cuota mensual para todos los agentes"/>
    <x v="0"/>
    <x v="1"/>
    <x v="3"/>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4"/>
    <x v="2"/>
    <s v="P10"/>
    <s v="Realizar monitoreos de calidad regulares según cuota mensual para todos los agentes"/>
    <x v="0"/>
    <x v="1"/>
    <x v="1"/>
    <m/>
    <s v="https://dpdhl.sharepoint.com/:f:/r/teams/CSManagement962/Shared%20Documents/General/Directorio%20COE/P10%20-%20Monitoreos%20de%20Calidad?csf=1&amp;web=1&amp;e=Q5eJNR"/>
    <m/>
    <s v="Supervisores realizan y registran el número de monitoreos de calidad requeridos para cada uno de sus agentes cada mes."/>
    <s v="Completar monitoreos para equipo FL;Completar monitoreos para equipo BL/KAD"/>
    <s v="P10-01"/>
    <s v="Presionar Ctrl+Shift+E"/>
    <x v="0"/>
    <m/>
  </r>
  <r>
    <s v="T20250708-165"/>
    <x v="2"/>
    <s v="P10"/>
    <s v="Asegurarse de dar feedback de las evaluaciones de calidad (monitoreos) con oportunidades de mejora y dejar los registros en el Quality form"/>
    <x v="0"/>
    <x v="1"/>
    <x v="2"/>
    <m/>
    <s v="https://app.getguru.com/card/cMxE7dRi/AUDITORIAS-MENSUALES-DE-CALIDAD"/>
    <m/>
    <m/>
    <m/>
    <s v="P10-02"/>
    <s v="Presionar Ctrl+Shift+E"/>
    <x v="0"/>
    <m/>
  </r>
  <r>
    <s v="T20250708-166"/>
    <x v="2"/>
    <s v="P10"/>
    <s v="Asegurarse de dar feedback de las evaluaciones de calidad (monitoreos) con oportunidades de mejora y dejar los registros en el Quality form"/>
    <x v="0"/>
    <x v="1"/>
    <x v="3"/>
    <m/>
    <s v="https://app.getguru.com/card/cMxE7dRi/AUDITORIAS-MENSUALES-DE-CALIDAD"/>
    <m/>
    <m/>
    <m/>
    <s v="P10-02"/>
    <s v="Presionar Ctrl+Shift+E"/>
    <x v="0"/>
    <m/>
  </r>
  <r>
    <s v="T20250708-167"/>
    <x v="2"/>
    <s v="P10"/>
    <s v="Asegurarse de dar feedback de las evaluaciones de calidad (monitoreos) con oportunidades de mejora y dejar los registros en el Quality form"/>
    <x v="0"/>
    <x v="1"/>
    <x v="1"/>
    <m/>
    <s v="https://app.getguru.com/card/cMxE7dRi/AUDITORIAS-MENSUALES-DE-CALIDAD"/>
    <m/>
    <m/>
    <m/>
    <s v="P10-02"/>
    <s v="Presionar Ctrl+Shift+E"/>
    <x v="0"/>
    <m/>
  </r>
  <r>
    <s v="T20250708-168"/>
    <x v="2"/>
    <s v="P11"/>
    <s v="Implementar Plan de actividades de team building, motivacionales e inspiracionales y documentar evidencia"/>
    <x v="0"/>
    <x v="0"/>
    <x v="0"/>
    <d v="2025-07-08T00:00:00"/>
    <s v="https://app.getguru.com/card/cdz8Rxei/Calendario-de-Actividades-CS-2024"/>
    <m/>
    <s v="Gerente y supervisores planifican y ejecutan al menos una actividad de team building o motivacional por mes."/>
    <s v="Planificar actividad mensual;Ejecutar y comunicar actividad"/>
    <s v="P11-01"/>
    <s v="Presionar Ctrl+Shift+E"/>
    <x v="0"/>
    <n v="0"/>
  </r>
  <r>
    <s v="T20250708-169"/>
    <x v="2"/>
    <s v="P11"/>
    <s v="Implementar Plan de actividades de team building, motivacionales e inspiracionales y documentar evidencia"/>
    <x v="0"/>
    <x v="1"/>
    <x v="2"/>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0"/>
    <x v="2"/>
    <s v="P11"/>
    <s v="Implementar Plan de actividades de team building, motivacionales e inspiracionales y documentar evidencia"/>
    <x v="0"/>
    <x v="1"/>
    <x v="3"/>
    <m/>
    <s v="https://app.getguru.com/card/cdz8Rxei/Calendario-de-Actividades-CS-2024"/>
    <m/>
    <s v="Gerente y supervisores planifican y ejecutan al menos una actividad de team building o motivacional por mes."/>
    <s v="Planificar actividad mensual;Ejecutar y comunicar actividad"/>
    <s v="P11-01"/>
    <s v="Presionar Ctrl+Shift+E"/>
    <x v="0"/>
    <m/>
  </r>
  <r>
    <s v="T20250708-171"/>
    <x v="2"/>
    <s v="P12"/>
    <s v="Implementar planes de acción para mejorar resultados de EOS"/>
    <x v="0"/>
    <x v="0"/>
    <x v="0"/>
    <d v="2025-07-08T00:00:00"/>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n v="0"/>
  </r>
  <r>
    <s v="T20250708-172"/>
    <x v="2"/>
    <s v="P12"/>
    <s v="Implementar planes de acción para mejorar resultados de EOS"/>
    <x v="0"/>
    <x v="1"/>
    <x v="2"/>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3"/>
    <x v="2"/>
    <s v="P12"/>
    <s v="Implementar planes de acción para mejorar resultados de EOS"/>
    <x v="0"/>
    <x v="1"/>
    <x v="3"/>
    <m/>
    <s v="https://getreport.dpdhl.com/2024/login/"/>
    <m/>
    <s v="Tras recibir los resultados de la encuesta de clima (EOS), Gerencia y Supervisores definen y hacen seguimiento mensual a los planes de acción."/>
    <s v="Revisar resultados de EOS;Definir planes de acción;Hacer seguimiento del progreso"/>
    <s v="P12-01"/>
    <s v="Presionar Ctrl+Shift+E"/>
    <x v="0"/>
    <m/>
  </r>
  <r>
    <s v="T20250708-174"/>
    <x v="3"/>
    <s v="T01"/>
    <s v="T01.1: Definir y comunicar proceso de &quot;Quality Sales Lead&quot; con Comercial y revisión con equipo de FL"/>
    <x v="0"/>
    <x v="0"/>
    <x v="0"/>
    <d v="2025-07-08T00:00:00"/>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n v="0"/>
  </r>
  <r>
    <s v="T20250708-175"/>
    <x v="3"/>
    <s v="T01"/>
    <s v="T01.1: Definir y comunicar proceso de &quot;Quality Sales Lead&quot; con Comercial y revisión con equipo de FL"/>
    <x v="0"/>
    <x v="1"/>
    <x v="2"/>
    <m/>
    <s v="https://app.getguru.com/card/TLx8MaEc/SLA-COMERCIAL-CS-SALES-LEADS-"/>
    <m/>
    <s v="Gerente define y documenta el proceso para pasar leads de calidad a Comercial. Se revisa y comunica trimestralmente."/>
    <s v="Revisar proceso actual;Documentar mejoras;Comunicar a equipos y a Comercial"/>
    <s v="T01-01"/>
    <s v="Presionar Ctrl+Shift+E"/>
    <x v="0"/>
    <m/>
  </r>
  <r>
    <s v="T20250708-176"/>
    <x v="3"/>
    <s v="T02"/>
    <s v="T02.1: Asegurar gestión de Remote Bookings según Global SOP"/>
    <x v="0"/>
    <x v="1"/>
    <x v="3"/>
    <m/>
    <s v="https://app.getguru.com/card/TdXbBnyc/RB-PROCESS-"/>
    <m/>
    <s v="Supervisor BL realiza una auditoría mensual para verificar que el proceso de Reservas Remotas sigue el SOP Global."/>
    <s v="Auditar casos de RB;Verificar cumplimiento de SOP;Dar feedback y refuerzo"/>
    <s v="T02-01"/>
    <s v="Presionar Ctrl+Shift+E"/>
    <x v="0"/>
    <m/>
  </r>
  <r>
    <s v="T20250708-177"/>
    <x v="3"/>
    <s v="T03"/>
    <s v="T03.1: Asegurar uso correcto de sistema de booking y procedimientos globales"/>
    <x v="0"/>
    <x v="1"/>
    <x v="2"/>
    <m/>
    <s v="https://app.getguru.com/card/TKx97XMc/T3-Registro-de-Bookings"/>
    <m/>
    <s v="Supervisores FL realizan una auditoría mensual para verificar que los agentes siguen correctamente el proceso estándar de toma de reservas en el sistema."/>
    <s v="Auditar reservas en sistema;Verificar uso correcto de códigos;Dar feedback y refuerzo"/>
    <s v="T03-01"/>
    <s v="Presionar Ctrl+Shift+E"/>
    <x v="0"/>
    <m/>
  </r>
  <r>
    <s v="T20250708-178"/>
    <x v="3"/>
    <s v="T05"/>
    <s v="T05.1: Asegurar uso preciso de sistema de gestión de casos (GEMA/SPARK) para traces"/>
    <x v="0"/>
    <x v="1"/>
    <x v="3"/>
    <m/>
    <s v="https://app.getguru.com/card/TgE7b5Mc/POLITICAS-DE-NTP-CC-"/>
    <m/>
    <s v="Supervisor BL realiza una revisión mensual para asegurar el uso preciso del sistema en los casos de seguimiento (traces)."/>
    <s v="Auditar casos de traces;Verificar campos obligatorios;Validar consistencia"/>
    <s v="T05-01"/>
    <s v="Presionar Ctrl+Shift+E"/>
    <x v="0"/>
    <m/>
  </r>
  <r>
    <s v="T20250708-179"/>
    <x v="3"/>
    <s v="T06"/>
    <s v="T06.1: Asegurar cumplimiento de política de tiempo esperado de contacto en sistema para seguimiento de Backline (callbacks)"/>
    <x v="0"/>
    <x v="1"/>
    <x v="2"/>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0"/>
    <x v="3"/>
    <s v="T06"/>
    <s v="T06.1: Asegurar cumplimiento de política de tiempo esperado de contacto en sistema para seguimiento de Backline (callbacks)"/>
    <x v="0"/>
    <x v="1"/>
    <x v="3"/>
    <m/>
    <s v="https://app.getguru.com/card/cMxLGr7i/PROGRAMACION-DE-CALL-BACK-EN-CASO"/>
    <m/>
    <s v="Supervisor BL verifica mensualmente que los agentes de FL/BL ingresan correctamente el tiempo esperado de contacto en el sistema."/>
    <s v="Auditar casos de BL;Verificar campo &quot;tiempo esperado de contacto&quot;"/>
    <s v="T06-01"/>
    <s v="Presionar Ctrl+Shift+E"/>
    <x v="0"/>
    <m/>
  </r>
  <r>
    <s v="T20250708-181"/>
    <x v="3"/>
    <s v="T06"/>
    <s v="Analizar performance callbaks, realizar feedbacks inmediatos a agentes de BL/KAD por fallas en el cumplimiento y documentar acciones"/>
    <x v="0"/>
    <x v="2"/>
    <x v="3"/>
    <m/>
    <s v="https://dpdhl.sharepoint.com/:f:/r/teams/CSManagement962/Shared%20Documents/General/Directorio%20COE/T6/FEEDBACK%20CB%202025?csf=1&amp;web=1&amp;e=QOS7Wc"/>
    <m/>
    <m/>
    <m/>
    <s v="T06-02"/>
    <s v="Presionar Ctrl+Shift+E"/>
    <x v="0"/>
    <m/>
  </r>
  <r>
    <s v="T20250708-182"/>
    <x v="3"/>
    <s v="T07"/>
    <s v="T07.1: Asegurar uso preciso de sistema de gestión de casos para Claims"/>
    <x v="0"/>
    <x v="1"/>
    <x v="3"/>
    <m/>
    <s v="https://app.getguru.com/card/TgE7b5Mc/POLITICAS-DE-NTP-CC-"/>
    <m/>
    <s v="Supervisor BL verifica mensualmente el uso preciso del sistema para los casos de Reclamaciones (Claims)."/>
    <s v="Auditar casos de Claims;Verificar clasificación y SLAs"/>
    <s v="T07-01"/>
    <s v="Presionar Ctrl+Shift+E"/>
    <x v="0"/>
    <m/>
  </r>
  <r>
    <s v="T20250708-183"/>
    <x v="3"/>
    <s v="T08"/>
    <s v="T08.1: Asegurar uso preciso de sistema para Complaints y Guía de Recuperación de Servicio"/>
    <x v="0"/>
    <x v="1"/>
    <x v="3"/>
    <m/>
    <s v="https://app.getguru.com/card/TgE7b5Mc/POLITICAS-DE-NTP-CC-"/>
    <m/>
    <s v="Supervisor BL verifica mensualmente el uso preciso del sistema para Quejas (Complaints) y la aplicación de la Guía de Recuperación de Servicio."/>
    <s v="Auditar casos de Complaints;Verificar aplicación de Service Recovery"/>
    <s v="T08-01"/>
    <s v="Presionar Ctrl+Shift+E"/>
    <x v="0"/>
    <m/>
  </r>
  <r>
    <s v="T20250708-184"/>
    <x v="3"/>
    <s v="T09"/>
    <s v="T09.1: Documentar y comunicar niveles de empoderamiento para resolución"/>
    <x v="0"/>
    <x v="0"/>
    <x v="0"/>
    <d v="2025-07-08T00:00:00"/>
    <s v="https://dpdhl.sharepoint.com/:f:/r/teams/CSManagement962/Shared%20Documents/General/Directorio%20COE/T9%20-%20empoderamiento?csf=1&amp;web=1&amp;e=3VP8Cw"/>
    <m/>
    <s v="Gerente revisa y comunica anualmente los niveles de empoderamiento (ej. montos de compensación) que tiene el personal para resolver casos."/>
    <s v="Revisar matriz de empoderamiento;Actualizar si es necesario;Comunicar a todo el personal"/>
    <s v="T09-01"/>
    <s v="Presionar Ctrl+Shift+E"/>
    <x v="0"/>
    <n v="0"/>
  </r>
  <r>
    <s v="T20250708-185"/>
    <x v="3"/>
    <s v="T09"/>
    <s v="Asegurar entendimiento y aplicación de la matriz de empoderamiento por equipo FL/BL/KAD"/>
    <x v="0"/>
    <x v="1"/>
    <x v="2"/>
    <m/>
    <s v="https://app.getguru.com/folders/cRj4ekai/Empowerment"/>
    <m/>
    <m/>
    <m/>
    <s v="T09-02"/>
    <s v="Presionar Ctrl+Shift+E"/>
    <x v="0"/>
    <m/>
  </r>
  <r>
    <s v="T20250708-186"/>
    <x v="3"/>
    <s v="T09"/>
    <s v="Asegurar entendimiento y aplicación de la matriz de empoderamiento por equipo FL/BL/KAD"/>
    <x v="0"/>
    <x v="1"/>
    <x v="3"/>
    <m/>
    <s v="https://app.getguru.com/folders/cRj4ekai/Empowerment"/>
    <m/>
    <m/>
    <m/>
    <s v="T09-02"/>
    <s v="Presionar Ctrl+Shift+E"/>
    <x v="0"/>
    <m/>
  </r>
  <r>
    <s v="T20250708-187"/>
    <x v="3"/>
    <s v="T10"/>
    <s v="T10.1: Asegurar carga de plantillas/cartas estándar en sistema de gestión de casos (Gema/Spark)"/>
    <x v="0"/>
    <x v="1"/>
    <x v="3"/>
    <m/>
    <s v="https://gemaadmin.dhl.com/"/>
    <m/>
    <s v="Supervisor verifica semestralmente que todas las plantillas de comunicación estándar están cargadas y actualizadas en el sistema."/>
    <s v="Revisar listado de plantillas;Verificar su existencia y versión en sistema"/>
    <s v="T10-01"/>
    <s v="Presionar Ctrl+Shift+E"/>
    <x v="0"/>
    <m/>
  </r>
  <r>
    <s v="T20250708-188"/>
    <x v="3"/>
    <s v="T10"/>
    <s v="Registrar cartas estándar en Gema/Spark aprobadas por los departamentos correspondientes (Marketing-Legales)."/>
    <x v="0"/>
    <x v="1"/>
    <x v="3"/>
    <m/>
    <s v="https://app.getguru.com/card/io8opzpT/CARTAS-EN-GEMA-"/>
    <m/>
    <m/>
    <m/>
    <s v="T10-02"/>
    <s v="Presionar Ctrl+Shift+E"/>
    <x v="0"/>
    <m/>
  </r>
  <r>
    <s v="T20250708-189"/>
    <x v="3"/>
    <s v="T10"/>
    <s v="Monitorear uso correcto de cartas estándar en Gema/Spark"/>
    <x v="0"/>
    <x v="1"/>
    <x v="3"/>
    <m/>
    <s v="https://gema.dhl.com/jsp/loginDiv.jsf?message=errors.login.sessionTimedOut&amp;shipment=3683544056~8430132653~1250109630&amp;Request=&amp;piece="/>
    <m/>
    <m/>
    <m/>
    <s v="T10-03"/>
    <s v="Presionar Ctrl+Shift+E"/>
    <x v="0"/>
    <m/>
  </r>
  <r>
    <s v="T20250708-190"/>
    <x v="3"/>
    <s v="T11"/>
    <s v="T11.1: Asegurar uso de proceso de aprobación GEMA/SPARK para pagos de compensación"/>
    <x v="0"/>
    <x v="0"/>
    <x v="0"/>
    <d v="2025-07-08T00:00:00"/>
    <s v="https://gema.dhl.com/jsp/loginDiv.jsf?message=errors.login.sessionTimedOut&amp;shipment=3683544056~8430132653~1250109630&amp;Request=&amp;piece="/>
    <m/>
    <s v="Gerente realiza una auditoría trimestral para asegurar que todos los pagos de compensación han seguido el proceso de aprobación establecido."/>
    <s v="Muestrear pagos de compensación;Verificar firmas/aprobaciones digitales"/>
    <s v="T11-01"/>
    <s v="Presionar Ctrl+Shift+E"/>
    <x v="0"/>
    <n v="0"/>
  </r>
  <r>
    <s v="T20250708-191"/>
    <x v="3"/>
    <s v="T12"/>
    <s v="T12.1: Asegurar utilización de Herramienta de Reporteo de Cuentas Clave (KART) de acuerdo con Nomination forms. Se aconseja control cruzado entre KADs"/>
    <x v="0"/>
    <x v="1"/>
    <x v="3"/>
    <m/>
    <s v="https://kart3.dhl.com/kart/auth/login"/>
    <m/>
    <s v="Supervisor BL/KAD asegura que el equipo KAD utiliza la herramienta KART para todos los reportes requeridos. Verificación mensual."/>
    <s v="Revisar reportes generados;Validar que provienen de KART"/>
    <s v="T12-01"/>
    <s v="Presionar Ctrl+Shift+E"/>
    <x v="0"/>
    <m/>
  </r>
  <r>
    <s v="T20250708-192"/>
    <x v="3"/>
    <s v="T13"/>
    <s v="T13.1: Asegurar implementación y cobertura de casos de uso del Asistente Virtual Global (GVA)"/>
    <x v="0"/>
    <x v="0"/>
    <x v="0"/>
    <d v="2025-07-08T00:00:00"/>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n v="0"/>
  </r>
  <r>
    <s v="T20250708-193"/>
    <x v="3"/>
    <s v="T13"/>
    <s v="T13.1: Asegurar implementación y cobertura de casos de uso del Asistente Virtual Global (GVA)"/>
    <x v="0"/>
    <x v="1"/>
    <x v="1"/>
    <m/>
    <s v="https://app.powerbi.com/groups/me/apps/a91e7e0a-1652-440f-8f81-79fa9459f076/reports/65847ead-08b4-4567-81d9-73a94e23a4d1/ReportSectionc9f6c0c6957f3df2e94d?ctid=cd99fef8-1cd3-4a2a-9bdf-15531181d65e&amp;experience=power-bi"/>
    <m/>
    <s v="CSD y Gerente revisan mensualmente la configuración y el rendimiento del GVA para maximizar su uso y efectividad."/>
    <s v="Analizar % de interacciones manejadas por GVA;Identificar nuevos casos de uso"/>
    <s v="T13-01"/>
    <s v="Presionar Ctrl+Shift+E"/>
    <x v="0"/>
    <m/>
  </r>
  <r>
    <s v="T20250708-194"/>
    <x v="3"/>
    <s v="T13"/>
    <s v="Documentar acciones de mejora basado en análisis de reportes de GVA"/>
    <x v="0"/>
    <x v="1"/>
    <x v="1"/>
    <m/>
    <s v="https://dpdhl.sharepoint.com/:f:/r/teams/CSManagement962/Shared%20Documents/General/Directorio%20COE/T13-%20An%C3%A1lisis%20GVA?csf=1&amp;web=1&amp;e=yNY9Qq"/>
    <m/>
    <m/>
    <m/>
    <s v="T13-02"/>
    <s v="Presionar Ctrl+Shift+E"/>
    <x v="0"/>
    <m/>
  </r>
  <r>
    <s v="T20250708-195"/>
    <x v="3"/>
    <s v="T14"/>
    <s v="T14.1: Asegurar disponibilidad y actualización de documentación de enrutamiento de llamadas (FDS/BDC)"/>
    <x v="0"/>
    <x v="0"/>
    <x v="0"/>
    <d v="2025-07-08T00:00:00"/>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n v="0"/>
  </r>
  <r>
    <s v="T20250708-196"/>
    <x v="3"/>
    <s v="T14"/>
    <s v="T14.1: Asegurar disponibilidad y actualización de documentación de enrutamiento de llamadas (FDS/BDC)"/>
    <x v="0"/>
    <x v="1"/>
    <x v="1"/>
    <m/>
    <s v="https://dpdhl.sharepoint.com/:f:/r/teams/CSManagement962/Shared%20Documents/General/Directorio%20COE/T14%20FDS?csf=1&amp;web=1&amp;e=4gtzpQ"/>
    <m/>
    <s v="CSD revisa semestralmente que la documentación que describe cómo se enrutan las llamadas (call routing) está actualizada y accesible."/>
    <s v="Revisar flujos de llamadas;Actualizar documentación de enrutamiento"/>
    <s v="T14-01"/>
    <s v="Presionar Ctrl+Shift+E"/>
    <x v="0"/>
    <m/>
  </r>
  <r>
    <s v="T20250708-197"/>
    <x v="3"/>
    <s v="T15"/>
    <s v="T15.1: Revisar configuración IVR con máximo 3 capas y 5 opciones, y opción a agente en vivo"/>
    <x v="0"/>
    <x v="0"/>
    <x v="0"/>
    <d v="2025-07-08T00:00:00"/>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n v="0"/>
  </r>
  <r>
    <s v="T20250708-198"/>
    <x v="3"/>
    <s v="T15"/>
    <s v="T15.1: Revisar configuración IVR con máximo 3 capas y 5 opciones, y opción a agente en vivo"/>
    <x v="0"/>
    <x v="1"/>
    <x v="1"/>
    <m/>
    <s v="https://dpdhl.sharepoint.com/:f:/r/teams/CSManagement962/Shared%20Documents/General/Directorio%20COE/T15%20(%20IVR.%20Customizaciones%20y%20An%C3%A1lisis)?csf=1&amp;web=1&amp;e=YYrNk6"/>
    <m/>
    <s v="CSD realiza una auditoría anual del IVR para asegurar que cumple con los estándares globales de estructura (capas, opciones, salida a agente)."/>
    <s v="Mapear árbol del IVR;Verificar cumplimiento de estándares"/>
    <s v="T15-01"/>
    <s v="Presionar Ctrl+Shift+E"/>
    <x v="0"/>
    <m/>
  </r>
  <r>
    <s v="T20250708-199"/>
    <x v="3"/>
    <s v="T16"/>
    <s v="T16.1: Revisar configuración de Asistente Automático (AA) para optimizar enrutamiento y acceso a agente"/>
    <x v="0"/>
    <x v="0"/>
    <x v="0"/>
    <d v="2025-07-08T00:00:00"/>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n v="0"/>
  </r>
  <r>
    <s v="T20250708-200"/>
    <x v="3"/>
    <s v="T16"/>
    <s v="T16.1: Revisar configuración de Asistente Automático (AA) para optimizar enrutamiento y acceso a agente"/>
    <x v="0"/>
    <x v="1"/>
    <x v="1"/>
    <m/>
    <s v="https://dpdhl.sharepoint.com/:f:/r/teams/CSManagement962/Shared%20Documents/General/Directorio%20COE/T14%20FDS?csf=1&amp;web=1&amp;e=MP53DF"/>
    <m/>
    <s v="CSD revisa semestralmente la configuración del Asistente Automático para asegurar que optimiza la transferencia de llamadas."/>
    <s v="Revisar configuración del AA;Analizar % de transferencias correctas"/>
    <s v="T16-01"/>
    <s v="Presionar Ctrl+Shift+E"/>
    <x v="0"/>
    <m/>
  </r>
  <r>
    <s v="T20250709-201"/>
    <x v="0"/>
    <s v="L03"/>
    <s v="Distribuir reportes de desempeño a los agentes para su revisión y análisis"/>
    <x v="1"/>
    <x v="1"/>
    <x v="1"/>
    <m/>
    <s v="https://app.getguru.com/card/cgEbRpAi/COE-M3-M4-Daily-Reporting-CS-PA-"/>
    <m/>
    <s v="CSD genera y distribuye reportes base. Supervisores comunican y explican a equipos."/>
    <s v="Generar y enviar reporte diario de KPIs"/>
    <s v="L03-03"/>
    <s v="Presionar Ctrl+Shift+E"/>
    <x v="0"/>
    <m/>
  </r>
  <r>
    <s v="T20250709-202"/>
    <x v="0"/>
    <s v="L05"/>
    <s v="Revisar diariamente llamadas reales vs. forecast y hacer comentarios cuando la variación es de +/- 10%"/>
    <x v="1"/>
    <x v="1"/>
    <x v="1"/>
    <m/>
    <s v="https://dpdhl.sharepoint.com/:x:/r/teams/CSManagement962/Shared%20Documents/General/Directorio%20COE/L4%20Capacity%20FL/2025/Capacity/PA%20-%20WFM%20Tool%20Frontline%202025.xlsm?d=w67e1cbbeca88499180eaf51b9eba8bb3&amp;csf=1&amp;web=1&amp;e=7MLSz6"/>
    <m/>
    <m/>
    <m/>
    <s v="L05-02"/>
    <s v="Presionar Ctrl+Shift+E"/>
    <x v="0"/>
    <m/>
  </r>
  <r>
    <s v="T20250709-203"/>
    <x v="0"/>
    <s v="L05"/>
    <s v="Realizar y guardar evidencia de re-forecast en WFM tool de acuerdo a variaciones en el volumen actual de llamadas para ajustar manpower"/>
    <x v="1"/>
    <x v="1"/>
    <x v="1"/>
    <m/>
    <s v="https://dpdhl.sharepoint.com/:f:/r/teams/CSManagement962/Shared%20Documents/General/Directorio%20COE/L5%20Forecast%20accuracy%20FL/2025/Evidencia%20re-forecast?csf=1&amp;web=1&amp;e=jIxJWn"/>
    <m/>
    <m/>
    <m/>
    <s v="L05-03"/>
    <s v="Presionar Ctrl+Shift+E"/>
    <x v="0"/>
    <m/>
  </r>
  <r>
    <s v="T20250709-204"/>
    <x v="0"/>
    <s v="L08"/>
    <s v="Monitoreo en Tiempo Real (RTA) de adherencia y metricas fuera de lo normal (AHT, ACW prolongados, etc.)"/>
    <x v="1"/>
    <x v="1"/>
    <x v="2"/>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5"/>
    <x v="0"/>
    <s v="L08"/>
    <s v="Monitoreo en Tiempo Real (RTA) de adherencia y metricas fuera de lo normal (AHT, ACW prolongados, etc.)"/>
    <x v="1"/>
    <x v="1"/>
    <x v="1"/>
    <m/>
    <s v="https://dpdhl.sharepoint.com/:f:/r/teams/CSManagement962/Shared%20Documents/General/Directorio%20COE/L8-L10%20programaci%C3%B3n%20y%20overflow?csf=1&amp;web=1&amp;e=yl8Kq3"/>
    <m/>
    <s v="CSD (RTA) y Supervisores monitorean desempeño, colas y adherencia. La tarea es la verificación. Se sugiere armar grupo en Teams."/>
    <s v="Monitorear colas y SL;Monitorear adherencia"/>
    <s v="L08-02"/>
    <s v="Presionar Ctrl+Shift+E"/>
    <x v="0"/>
    <m/>
  </r>
  <r>
    <s v="T20250709-206"/>
    <x v="0"/>
    <s v="L09"/>
    <s v="Monitorear y analizar workload diario BL/KAD"/>
    <x v="1"/>
    <x v="1"/>
    <x v="3"/>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7"/>
    <x v="0"/>
    <s v="L09"/>
    <s v="Monitorear y analizar workload diario BL/KAD"/>
    <x v="1"/>
    <x v="1"/>
    <x v="1"/>
    <m/>
    <s v="https://dpdhl.sharepoint.com/:f:/r/teams/CSManagement962/Shared%20Documents/General/Directorio%20COE/L9%20Capacity%20BL/2025/Balanceo%20Diario?csf=1&amp;web=1&amp;e=PVhja2"/>
    <m/>
    <s v="CSD analiza datos, Supervisor BL valida y aporta contexto."/>
    <s v="Analizar productividad vs forecast;Validar datos con supervisión"/>
    <s v="L09-02"/>
    <s v="Presionar Ctrl+Shift+E"/>
    <x v="0"/>
    <m/>
  </r>
  <r>
    <s v="T20250709-208"/>
    <x v="0"/>
    <s v="L11"/>
    <s v="Rastrear y registrar ausencias"/>
    <x v="1"/>
    <x v="1"/>
    <x v="1"/>
    <m/>
    <s v="https://dpdhl.sharepoint.com/:x:/r/teams/CSManagement962/Shared%20Documents/General/Directorio%20COE/L11%20Vacaciones/Vacaciones/2025/Actualizado%20Ausentes%20x%20d%C3%ADa%20tendencia.xlsx?d=w74c639d1d2f34d9bb9b825744a22d8f9&amp;csf=1&amp;web=1&amp;e=djdDJC"/>
    <m/>
    <s v="Tarea diaria de asegurar que todas las ausencias del día anterior están registradas."/>
    <s v="Verificar y registrar ausencias FL;Verificar y registrar ausencias BL"/>
    <s v="L11-03"/>
    <s v="Presionar Ctrl+Shift+E"/>
    <x v="0"/>
    <m/>
  </r>
  <r>
    <s v="T20250709-209"/>
    <x v="0"/>
    <s v="L12"/>
    <s v="Gestionar trabajo de ausentes. Apoyarse en Plan de Contingencias"/>
    <x v="1"/>
    <x v="1"/>
    <x v="2"/>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0"/>
    <x v="0"/>
    <s v="L12"/>
    <s v="Gestionar trabajo de ausentes. Apoyarse en Plan de Contingencias"/>
    <x v="1"/>
    <x v="1"/>
    <x v="3"/>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1"/>
    <x v="0"/>
    <s v="L12"/>
    <s v="Gestionar trabajo de ausentes. Apoyarse en Plan de Contingencias"/>
    <x v="1"/>
    <x v="1"/>
    <x v="1"/>
    <m/>
    <s v="https://dpdhl.sharepoint.com/:f:/r/teams/CSManagement962/Shared%20Documents/General/Directorio%20COE/L13%20Plan%20contingencia?csf=1&amp;web=1&amp;e=S8W3xQ"/>
    <m/>
    <s v="Tarea diaria de asegurar que el trabajo urgente de empleados ausentes es gestionado por buddy/supervisor."/>
    <s v="Verificar ausencias del día;Asegurar reasignación de tareas urgentes"/>
    <s v="L12-02"/>
    <s v="Presionar Ctrl+Shift+E"/>
    <x v="0"/>
    <m/>
  </r>
  <r>
    <s v="T20250709-212"/>
    <x v="1"/>
    <s v="M03"/>
    <s v="M03.1: Utilizar reportes estándar (PPMT y otros) para medir KPIs y eficiencia"/>
    <x v="1"/>
    <x v="1"/>
    <x v="1"/>
    <m/>
    <s v="https://ppmt.dhl.com/ppmt/#/ppmt/auth"/>
    <m/>
    <s v="CSD asegura que todos los reportes de desempeño se generan y distribuyen diariamente a través del canal adecuado"/>
    <s v="Validar que reportes de KPIs provienen de PPMT y otros;Comunicar a Supervisores"/>
    <s v="M03-01"/>
    <s v="Presionar Ctrl+Shift+E"/>
    <x v="0"/>
    <m/>
  </r>
  <r>
    <s v="T20250709-213"/>
    <x v="1"/>
    <s v="M03"/>
    <s v="Realizar reporte casos por cerrar de BL/KAD diario"/>
    <x v="1"/>
    <x v="1"/>
    <x v="1"/>
    <m/>
    <s v="https://dpdhl.sharepoint.com/:f:/r/teams/CSManagement962/Shared%20Documents/General/Directorio%20COE/M3%20-%20Reportes/Casos%20x%20Cerrar?csf=1&amp;web=1&amp;e=pTiEBB"/>
    <m/>
    <m/>
    <m/>
    <s v="M03-04"/>
    <s v="Presionar Ctrl+Shift+E"/>
    <x v="0"/>
    <m/>
  </r>
  <r>
    <s v="T20250709-214"/>
    <x v="1"/>
    <s v="M03"/>
    <s v="Realizar reporte de performance diario para FL/BL y KAD"/>
    <x v="1"/>
    <x v="1"/>
    <x v="1"/>
    <m/>
    <s v="https://dpdhl.sharepoint.com/:f:/r/teams/CSManagement962/Shared%20Documents/General/Directorio%20COE/M3%20-%20Reportes/Daily%20Customer%20Service%20Performance%20Report?csf=1&amp;web=1&amp;e=hUsw3t"/>
    <m/>
    <m/>
    <m/>
    <s v="M03-05"/>
    <s v="Presionar Ctrl+Shift+E"/>
    <x v="0"/>
    <m/>
  </r>
  <r>
    <s v="T20250709-215"/>
    <x v="1"/>
    <s v="M03"/>
    <s v="Realizar reporte de mails diario para agentes de FL/BL y KAD"/>
    <x v="1"/>
    <x v="1"/>
    <x v="1"/>
    <m/>
    <s v="https://dpdhl.sharepoint.com/:f:/r/teams/CSManagement962/Shared%20Documents/General/Directorio%20COE/M3%20-%20Reportes/MCT%20PA%20Report?csf=1&amp;web=1&amp;e=ObM0PZ"/>
    <m/>
    <m/>
    <m/>
    <s v="M03-08"/>
    <s v="Presionar Ctrl+Shift+E"/>
    <x v="0"/>
    <m/>
  </r>
  <r>
    <s v="T20250709-216"/>
    <x v="1"/>
    <s v="M03"/>
    <s v="Realizar reporte de Chat diario para agentes de FL/KAD"/>
    <x v="1"/>
    <x v="1"/>
    <x v="1"/>
    <m/>
    <s v="https://app.powerbi.com/groups/me/apps/a91e7e0a-1652-440f-8f81-79fa9459f076/reports/e7d5de1f-4e51-45de-a0b6-ee08e97b1b3a/ReportSection?ctid=cd99fef8-1cd3-4a2a-9bdf-15531181d65e&amp;experience=power-bi"/>
    <m/>
    <m/>
    <m/>
    <s v="M03-09"/>
    <s v="Presionar Ctrl+Shift+E"/>
    <x v="0"/>
    <m/>
  </r>
  <r>
    <s v="T20250709-217"/>
    <x v="1"/>
    <s v="M03"/>
    <s v="Realizar reporte de Aging diario para agentes de BL/KAD y supervisores analizan casos de mayor aging con agentes"/>
    <x v="1"/>
    <x v="1"/>
    <x v="3"/>
    <m/>
    <s v="https://app.powerbi.com/groups/me/apps/a91e7e0a-1652-440f-8f81-79fa9459f076/reports/3cbaff75-757e-4736-86c5-6a5a6ad7fe62/ReportSection?ctid=cd99fef8-1cd3-4a2a-9bdf-15531181d65e&amp;experience=power-bi"/>
    <m/>
    <m/>
    <m/>
    <s v="M03-10"/>
    <s v="Presionar Ctrl+Shift+E"/>
    <x v="0"/>
    <m/>
  </r>
  <r>
    <s v="T20250709-218"/>
    <x v="1"/>
    <s v="M03"/>
    <s v="Realizar reporte de Aging diario para agentes de BL/KAD y supervisores analizan casos de mayor aging con agentes"/>
    <x v="1"/>
    <x v="1"/>
    <x v="1"/>
    <m/>
    <s v="https://app.powerbi.com/groups/me/apps/a91e7e0a-1652-440f-8f81-79fa9459f076/reports/3cbaff75-757e-4736-86c5-6a5a6ad7fe62/ReportSection?ctid=cd99fef8-1cd3-4a2a-9bdf-15531181d65e&amp;experience=power-bi"/>
    <m/>
    <m/>
    <m/>
    <s v="M03-10"/>
    <s v="Presionar Ctrl+Shift+E"/>
    <x v="0"/>
    <m/>
  </r>
  <r>
    <s v="T20250709-219"/>
    <x v="1"/>
    <s v="M05"/>
    <s v="M05.1: Revisar diariamente resultados de desempeño e implementar acciones correctivas y documentar evidencia de seguimiento"/>
    <x v="1"/>
    <x v="1"/>
    <x v="2"/>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0"/>
    <x v="1"/>
    <s v="M05"/>
    <s v="M05.1: Revisar diariamente resultados de desempeño e implementar acciones correctivas y documentar evidencia de seguimiento"/>
    <x v="1"/>
    <x v="1"/>
    <x v="3"/>
    <m/>
    <s v="https://dpdhl.sharepoint.com/:f:/r/teams/CSManagement962/Shared%20Documents/General/Directorio%20COE/M5%20-%20Performance%20Review/CARPETA%20FEEEDBACK%202025?csf=1&amp;web=1&amp;e=iyqjjQ"/>
    <m/>
    <s v="Supervisores revisan diariamente los KPIs del día anterior con sus equipos y toman acciones inmediatas (ej. ajustar foco, coaching)."/>
    <s v="Revisar KPIs del equipo;Comunicar resultados en reunión de equipo;Registrar acciones tomadas"/>
    <s v="M05-01"/>
    <s v="Presionar Ctrl+Shift+E"/>
    <x v="0"/>
    <m/>
  </r>
  <r>
    <s v="T20250709-221"/>
    <x v="2"/>
    <s v="P07"/>
    <s v="Realizar feedback inmediato a los agentes con baja performance en algún KPI según corresponda"/>
    <x v="1"/>
    <x v="1"/>
    <x v="2"/>
    <m/>
    <s v="https://csacademy.dhl.com/#/"/>
    <m/>
    <m/>
    <m/>
    <s v="P07-04"/>
    <s v="Presionar Ctrl+Shift+E"/>
    <x v="0"/>
    <m/>
  </r>
  <r>
    <s v="T20250709-222"/>
    <x v="2"/>
    <s v="P07"/>
    <s v="Realizar feedback inmediato a los agentes con baja performance en algún KPI según corresponda"/>
    <x v="1"/>
    <x v="1"/>
    <x v="3"/>
    <m/>
    <s v="https://csacademy.dhl.com/#/"/>
    <m/>
    <m/>
    <m/>
    <s v="P07-04"/>
    <s v="Presionar Ctrl+Shift+E"/>
    <x v="0"/>
    <m/>
  </r>
  <r>
    <s v="T20250709-223"/>
    <x v="3"/>
    <s v="T06"/>
    <s v="Analizar performance callbaks, realizar feedbacks inmediatos a agentes de BL/KAD por fallas en el cumplimiento y documentar acciones"/>
    <x v="1"/>
    <x v="1"/>
    <x v="3"/>
    <m/>
    <s v="https://dpdhl.sharepoint.com/:f:/r/teams/CSManagement962/Shared%20Documents/General/Directorio%20COE/T6/FEEDBACK%20CB%202025?csf=1&amp;web=1&amp;e=QOS7Wc"/>
    <m/>
    <m/>
    <m/>
    <s v="T06-02"/>
    <s v="Presionar Ctrl+Shift+E"/>
    <x v="0"/>
    <m/>
  </r>
  <r>
    <s v="T20241101-1"/>
    <x v="0"/>
    <m/>
    <m/>
    <x v="2"/>
    <x v="3"/>
    <x v="4"/>
    <m/>
    <m/>
    <m/>
    <m/>
    <m/>
    <m/>
    <m/>
    <x v="0"/>
    <m/>
  </r>
  <r>
    <s v="T20250221-1"/>
    <x v="0"/>
    <m/>
    <m/>
    <x v="2"/>
    <x v="3"/>
    <x v="4"/>
    <m/>
    <m/>
    <m/>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BA12B-62F3-4CBF-ABF3-7F2CDB80114D}" name="PivotTable2" cacheId="481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Z2:AA6" firstHeaderRow="1" firstDataRow="1" firstDataCol="1"/>
  <pivotFields count="16">
    <pivotField showAll="0"/>
    <pivotField showAll="0">
      <items count="5">
        <item x="0"/>
        <item x="1"/>
        <item x="2"/>
        <item x="3"/>
        <item t="default"/>
      </items>
    </pivotField>
    <pivotField showAll="0"/>
    <pivotField showAll="0"/>
    <pivotField showAll="0">
      <items count="4">
        <item x="0"/>
        <item x="1"/>
        <item x="2"/>
        <item t="default"/>
      </items>
    </pivotField>
    <pivotField axis="axisRow" dataField="1" showAll="0">
      <items count="5">
        <item x="0"/>
        <item x="1"/>
        <item x="2"/>
        <item h="1" x="3"/>
        <item t="default"/>
      </items>
    </pivotField>
    <pivotField showAll="0">
      <items count="6">
        <item x="1"/>
        <item x="0"/>
        <item x="3"/>
        <item x="2"/>
        <item h="1" x="4"/>
        <item t="default"/>
      </items>
    </pivotField>
    <pivotField showAll="0"/>
    <pivotField showAll="0"/>
    <pivotField showAll="0"/>
    <pivotField showAll="0"/>
    <pivotField showAll="0"/>
    <pivotField showAll="0"/>
    <pivotField showAll="0"/>
    <pivotField showAll="0">
      <items count="7">
        <item m="1" x="2"/>
        <item m="1" x="1"/>
        <item m="1" x="3"/>
        <item m="1" x="5"/>
        <item m="1" x="4"/>
        <item x="0"/>
        <item t="default"/>
      </items>
    </pivotField>
    <pivotField showAll="0"/>
  </pivotFields>
  <rowFields count="1">
    <field x="5"/>
  </rowFields>
  <rowItems count="4">
    <i>
      <x/>
    </i>
    <i>
      <x v="1"/>
    </i>
    <i>
      <x v="2"/>
    </i>
    <i t="grand">
      <x/>
    </i>
  </rowItems>
  <colItems count="1">
    <i/>
  </colItems>
  <dataFields count="1">
    <dataField name="Count of Estado" fld="5" subtotal="count" baseField="0" baseItem="0"/>
  </dataFields>
  <formats count="7">
    <format dxfId="69">
      <pivotArea type="all" dataOnly="0" outline="0" fieldPosition="0"/>
    </format>
    <format dxfId="70">
      <pivotArea type="all" dataOnly="0" outline="0" fieldPosition="0"/>
    </format>
    <format dxfId="71">
      <pivotArea outline="0" collapsedLevelsAreSubtotals="1" fieldPosition="0"/>
    </format>
    <format dxfId="72">
      <pivotArea field="5" type="button" dataOnly="0" labelOnly="1" outline="0" axis="axisRow" fieldPosition="0"/>
    </format>
    <format dxfId="73">
      <pivotArea dataOnly="0" labelOnly="1" fieldPosition="0">
        <references count="1">
          <reference field="5" count="0"/>
        </references>
      </pivotArea>
    </format>
    <format dxfId="74">
      <pivotArea dataOnly="0" labelOnly="1" grandRow="1" outline="0" fieldPosition="0"/>
    </format>
    <format dxfId="75">
      <pivotArea dataOnly="0" labelOnly="1" outline="0" axis="axisValues" fieldPosition="0"/>
    </format>
  </format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5" count="1" selected="0">
            <x v="2"/>
          </reference>
        </references>
      </pivotArea>
    </chartFormat>
    <chartFormat chart="2" format="2">
      <pivotArea type="data" outline="0" fieldPosition="0">
        <references count="2">
          <reference field="4294967294" count="1" selected="0">
            <x v="0"/>
          </reference>
          <reference field="5" count="1" selected="0">
            <x v="0"/>
          </reference>
        </references>
      </pivotArea>
    </chartFormat>
    <chartFormat chart="2" format="3">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F319EF-52DC-4B6C-B9BD-3EB60ACBFDD8}" name="PivotTable3" cacheId="481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D2:AH6" firstHeaderRow="1" firstDataRow="2" firstDataCol="1"/>
  <pivotFields count="16">
    <pivotField showAll="0"/>
    <pivotField showAll="0">
      <items count="5">
        <item x="0"/>
        <item x="1"/>
        <item x="2"/>
        <item x="3"/>
        <item t="default"/>
      </items>
    </pivotField>
    <pivotField showAll="0"/>
    <pivotField showAll="0"/>
    <pivotField axis="axisRow" showAll="0">
      <items count="18">
        <item m="1" x="3"/>
        <item m="1" x="4"/>
        <item m="1" x="5"/>
        <item m="1" x="6"/>
        <item m="1" x="7"/>
        <item m="1" x="8"/>
        <item m="1" x="9"/>
        <item m="1" x="10"/>
        <item m="1" x="11"/>
        <item m="1" x="12"/>
        <item m="1" x="13"/>
        <item m="1" x="14"/>
        <item m="1" x="15"/>
        <item m="1" x="16"/>
        <item x="0"/>
        <item x="2"/>
        <item x="1"/>
        <item t="default"/>
      </items>
    </pivotField>
    <pivotField axis="axisCol" dataField="1" showAll="0">
      <items count="5">
        <item x="0"/>
        <item x="1"/>
        <item x="2"/>
        <item h="1" x="3"/>
        <item t="default"/>
      </items>
    </pivotField>
    <pivotField showAll="0">
      <items count="6">
        <item x="1"/>
        <item x="0"/>
        <item x="3"/>
        <item x="2"/>
        <item h="1" x="4"/>
        <item t="default"/>
      </items>
    </pivotField>
    <pivotField showAll="0"/>
    <pivotField showAll="0"/>
    <pivotField showAll="0"/>
    <pivotField showAll="0"/>
    <pivotField showAll="0"/>
    <pivotField showAll="0"/>
    <pivotField showAll="0"/>
    <pivotField showAll="0">
      <items count="7">
        <item m="1" x="2"/>
        <item m="1" x="1"/>
        <item m="1" x="3"/>
        <item m="1" x="5"/>
        <item m="1" x="4"/>
        <item x="0"/>
        <item t="default"/>
      </items>
    </pivotField>
    <pivotField showAll="0"/>
  </pivotFields>
  <rowFields count="1">
    <field x="4"/>
  </rowFields>
  <rowItems count="3">
    <i>
      <x v="14"/>
    </i>
    <i>
      <x v="16"/>
    </i>
    <i t="grand">
      <x/>
    </i>
  </rowItems>
  <colFields count="1">
    <field x="5"/>
  </colFields>
  <colItems count="4">
    <i>
      <x/>
    </i>
    <i>
      <x v="1"/>
    </i>
    <i>
      <x v="2"/>
    </i>
    <i t="grand">
      <x/>
    </i>
  </colItems>
  <dataFields count="1">
    <dataField name="Evolución de Tareas en el Tiempo" fld="5" subtotal="count" baseField="0" baseItem="0"/>
  </dataFields>
  <formats count="9">
    <format dxfId="60">
      <pivotArea type="all" dataOnly="0" outline="0" fieldPosition="0"/>
    </format>
    <format dxfId="61">
      <pivotArea type="all" dataOnly="0" outline="0" fieldPosition="0"/>
    </format>
    <format dxfId="62">
      <pivotArea outline="0" collapsedLevelsAreSubtotals="1" fieldPosition="0"/>
    </format>
    <format dxfId="63">
      <pivotArea type="origin" dataOnly="0" labelOnly="1" outline="0" fieldPosition="0"/>
    </format>
    <format dxfId="64">
      <pivotArea field="5" type="button" dataOnly="0" labelOnly="1" outline="0" axis="axisCol" fieldPosition="0"/>
    </format>
    <format dxfId="65">
      <pivotArea type="topRight" dataOnly="0" labelOnly="1" outline="0" fieldPosition="0"/>
    </format>
    <format dxfId="66">
      <pivotArea dataOnly="0" labelOnly="1" grandRow="1" outline="0" fieldPosition="0"/>
    </format>
    <format dxfId="67">
      <pivotArea dataOnly="0" labelOnly="1" fieldPosition="0">
        <references count="1">
          <reference field="5" count="0"/>
        </references>
      </pivotArea>
    </format>
    <format dxfId="68">
      <pivotArea dataOnly="0" labelOnly="1" grandCol="1" outline="0" fieldPosition="0"/>
    </format>
  </formats>
  <chartFormats count="5">
    <chartFormat chart="4" format="0" series="1">
      <pivotArea type="data" outline="0" fieldPosition="0">
        <references count="2">
          <reference field="4294967294" count="1" selected="0">
            <x v="0"/>
          </reference>
          <reference field="5" count="1" selected="0">
            <x v="0"/>
          </reference>
        </references>
      </pivotArea>
    </chartFormat>
    <chartFormat chart="4" format="1" series="1">
      <pivotArea type="data" outline="0" fieldPosition="0">
        <references count="2">
          <reference field="4294967294" count="1" selected="0">
            <x v="0"/>
          </reference>
          <reference field="5" count="1" selected="0">
            <x v="1"/>
          </reference>
        </references>
      </pivotArea>
    </chartFormat>
    <chartFormat chart="4" format="2" series="1">
      <pivotArea type="data" outline="0" fieldPosition="0">
        <references count="2">
          <reference field="4294967294" count="1" selected="0">
            <x v="0"/>
          </reference>
          <reference field="5" count="1" selected="0">
            <x v="2"/>
          </reference>
        </references>
      </pivotArea>
    </chartFormat>
    <chartFormat chart="4" format="3" series="1">
      <pivotArea type="data" outline="0" fieldPosition="0">
        <references count="1">
          <reference field="4294967294" count="1" selected="0">
            <x v="0"/>
          </reference>
        </references>
      </pivotArea>
    </chartFormat>
    <chartFormat chart="4" format="5"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B85155-CBF7-4202-A9B3-CFFF626D348D}" name="PivotTable1" cacheId="481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Q2:V7" firstHeaderRow="1" firstDataRow="2" firstDataCol="1"/>
  <pivotFields count="16">
    <pivotField dataField="1" showAll="0"/>
    <pivotField showAll="0">
      <items count="5">
        <item x="0"/>
        <item x="1"/>
        <item x="2"/>
        <item x="3"/>
        <item t="default"/>
      </items>
    </pivotField>
    <pivotField showAll="0"/>
    <pivotField showAll="0"/>
    <pivotField showAll="0">
      <items count="18">
        <item m="1" x="3"/>
        <item m="1" x="4"/>
        <item m="1" x="5"/>
        <item m="1" x="6"/>
        <item m="1" x="7"/>
        <item m="1" x="8"/>
        <item m="1" x="9"/>
        <item m="1" x="10"/>
        <item m="1" x="11"/>
        <item m="1" x="12"/>
        <item m="1" x="13"/>
        <item m="1" x="14"/>
        <item m="1" x="15"/>
        <item m="1" x="16"/>
        <item x="0"/>
        <item x="1"/>
        <item x="2"/>
        <item t="default"/>
      </items>
    </pivotField>
    <pivotField axis="axisRow" showAll="0">
      <items count="5">
        <item x="0"/>
        <item x="1"/>
        <item x="2"/>
        <item h="1" x="3"/>
        <item t="default"/>
      </items>
    </pivotField>
    <pivotField axis="axisCol" showAll="0">
      <items count="6">
        <item x="1"/>
        <item x="0"/>
        <item x="3"/>
        <item x="2"/>
        <item h="1" x="4"/>
        <item t="default"/>
      </items>
    </pivotField>
    <pivotField showAll="0"/>
    <pivotField showAll="0"/>
    <pivotField showAll="0"/>
    <pivotField showAll="0"/>
    <pivotField showAll="0"/>
    <pivotField showAll="0"/>
    <pivotField showAll="0"/>
    <pivotField showAll="0">
      <items count="7">
        <item m="1" x="2"/>
        <item m="1" x="1"/>
        <item m="1" x="3"/>
        <item m="1" x="5"/>
        <item m="1" x="4"/>
        <item x="0"/>
        <item t="default"/>
      </items>
    </pivotField>
    <pivotField showAll="0"/>
  </pivotFields>
  <rowFields count="1">
    <field x="5"/>
  </rowFields>
  <rowItems count="4">
    <i>
      <x/>
    </i>
    <i>
      <x v="1"/>
    </i>
    <i>
      <x v="2"/>
    </i>
    <i t="grand">
      <x/>
    </i>
  </rowItems>
  <colFields count="1">
    <field x="6"/>
  </colFields>
  <colItems count="5">
    <i>
      <x/>
    </i>
    <i>
      <x v="1"/>
    </i>
    <i>
      <x v="2"/>
    </i>
    <i>
      <x v="3"/>
    </i>
    <i t="grand">
      <x/>
    </i>
  </colItems>
  <dataFields count="1">
    <dataField name="Estado de Tareas por Responsable" fld="0" subtotal="count" baseField="5" baseItem="1"/>
  </dataFields>
  <formats count="11">
    <format dxfId="49">
      <pivotArea type="all" dataOnly="0" outline="0" fieldPosition="0"/>
    </format>
    <format dxfId="50">
      <pivotArea type="all" dataOnly="0" outline="0" fieldPosition="0"/>
    </format>
    <format dxfId="51">
      <pivotArea outline="0" collapsedLevelsAreSubtotals="1" fieldPosition="0"/>
    </format>
    <format dxfId="52">
      <pivotArea type="origin" dataOnly="0" labelOnly="1" outline="0" fieldPosition="0"/>
    </format>
    <format dxfId="53">
      <pivotArea field="6" type="button" dataOnly="0" labelOnly="1" outline="0" axis="axisCol" fieldPosition="0"/>
    </format>
    <format dxfId="54">
      <pivotArea type="topRight" dataOnly="0" labelOnly="1" outline="0" fieldPosition="0"/>
    </format>
    <format dxfId="55">
      <pivotArea field="5" type="button" dataOnly="0" labelOnly="1" outline="0" axis="axisRow" fieldPosition="0"/>
    </format>
    <format dxfId="56">
      <pivotArea dataOnly="0" labelOnly="1" fieldPosition="0">
        <references count="1">
          <reference field="5" count="0"/>
        </references>
      </pivotArea>
    </format>
    <format dxfId="57">
      <pivotArea dataOnly="0" labelOnly="1" grandRow="1" outline="0" fieldPosition="0"/>
    </format>
    <format dxfId="58">
      <pivotArea dataOnly="0" labelOnly="1" fieldPosition="0">
        <references count="1">
          <reference field="6" count="0"/>
        </references>
      </pivotArea>
    </format>
    <format dxfId="59">
      <pivotArea dataOnly="0" labelOnly="1" grandCol="1" outline="0" fieldPosition="0"/>
    </format>
  </formats>
  <chartFormats count="6">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3" format="2" series="1">
      <pivotArea type="data" outline="0" fieldPosition="0">
        <references count="2">
          <reference field="4294967294" count="1" selected="0">
            <x v="0"/>
          </reference>
          <reference field="6" count="1" selected="0">
            <x v="2"/>
          </reference>
        </references>
      </pivotArea>
    </chartFormat>
    <chartFormat chart="3" format="3" series="1">
      <pivotArea type="data" outline="0" fieldPosition="0">
        <references count="2">
          <reference field="4294967294" count="1" selected="0">
            <x v="0"/>
          </reference>
          <reference field="6" count="1" selected="0">
            <x v="3"/>
          </reference>
        </references>
      </pivotArea>
    </chartFormat>
    <chartFormat chart="3" format="4" series="1">
      <pivotArea type="data" outline="0" fieldPosition="0">
        <references count="2">
          <reference field="4294967294" count="1" selected="0">
            <x v="0"/>
          </reference>
          <reference field="6" count="1" selected="0">
            <x v="4"/>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D9B6EF-8F17-4AD8-BB6E-3E1CF64CDCED}" name="ptTiempoPromedio" cacheId="4815"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I3:J14" firstHeaderRow="1" firstDataRow="1" firstDataCol="1"/>
  <pivotFields count="16">
    <pivotField showAll="0"/>
    <pivotField showAll="0"/>
    <pivotField showAll="0"/>
    <pivotField showAll="0"/>
    <pivotField showAll="0"/>
    <pivotField showAll="0"/>
    <pivotField axis="axisRow" showAll="0">
      <items count="6">
        <item x="1"/>
        <item x="0"/>
        <item x="3"/>
        <item x="2"/>
        <item x="4"/>
        <item t="default"/>
      </items>
    </pivotField>
    <pivotField showAll="0"/>
    <pivotField showAll="0"/>
    <pivotField showAll="0"/>
    <pivotField showAll="0"/>
    <pivotField showAll="0"/>
    <pivotField showAll="0"/>
    <pivotField showAll="0"/>
    <pivotField axis="axisRow" showAll="0">
      <items count="2">
        <item x="0"/>
        <item t="default"/>
      </items>
    </pivotField>
    <pivotField dataField="1" showAll="0"/>
  </pivotFields>
  <rowFields count="2">
    <field x="6"/>
    <field x="14"/>
  </rowFields>
  <rowItems count="11">
    <i>
      <x/>
    </i>
    <i r="1">
      <x/>
    </i>
    <i>
      <x v="1"/>
    </i>
    <i r="1">
      <x/>
    </i>
    <i>
      <x v="2"/>
    </i>
    <i r="1">
      <x/>
    </i>
    <i>
      <x v="3"/>
    </i>
    <i r="1">
      <x/>
    </i>
    <i>
      <x v="4"/>
    </i>
    <i r="1">
      <x/>
    </i>
    <i t="grand">
      <x/>
    </i>
  </rowItems>
  <colItems count="1">
    <i/>
  </colItems>
  <dataFields count="1">
    <dataField name="Promedio de Días" fld="15" subtotal="average" baseField="0" baseItem="0" numFmtId="16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A87604-22E7-4033-BD0F-B9282CAEB5CF}" name="ptTiempoPromedio" cacheId="481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17:B28" firstHeaderRow="1" firstDataRow="1" firstDataCol="1"/>
  <pivotFields count="16">
    <pivotField showAll="0"/>
    <pivotField showAll="0"/>
    <pivotField showAll="0"/>
    <pivotField showAll="0"/>
    <pivotField numFmtId="14" showAll="0"/>
    <pivotField showAll="0"/>
    <pivotField axis="axisRow" showAll="0">
      <items count="6">
        <item x="1"/>
        <item x="0"/>
        <item x="3"/>
        <item x="2"/>
        <item x="4"/>
        <item t="default"/>
      </items>
    </pivotField>
    <pivotField showAll="0"/>
    <pivotField showAll="0"/>
    <pivotField showAll="0"/>
    <pivotField showAll="0"/>
    <pivotField showAll="0"/>
    <pivotField showAll="0"/>
    <pivotField showAll="0"/>
    <pivotField axis="axisRow" showAll="0">
      <items count="7">
        <item m="1" x="2"/>
        <item m="1" x="1"/>
        <item m="1" x="3"/>
        <item m="1" x="5"/>
        <item m="1" x="4"/>
        <item x="0"/>
        <item t="default"/>
      </items>
    </pivotField>
    <pivotField dataField="1" showAll="0"/>
  </pivotFields>
  <rowFields count="2">
    <field x="6"/>
    <field x="14"/>
  </rowFields>
  <rowItems count="11">
    <i>
      <x/>
    </i>
    <i r="1">
      <x v="5"/>
    </i>
    <i>
      <x v="1"/>
    </i>
    <i r="1">
      <x v="5"/>
    </i>
    <i>
      <x v="2"/>
    </i>
    <i r="1">
      <x v="5"/>
    </i>
    <i>
      <x v="3"/>
    </i>
    <i r="1">
      <x v="5"/>
    </i>
    <i>
      <x v="4"/>
    </i>
    <i r="1">
      <x v="5"/>
    </i>
    <i t="grand">
      <x/>
    </i>
  </rowItems>
  <colItems count="1">
    <i/>
  </colItems>
  <dataFields count="1">
    <dataField name="Promedio de Días" fld="15" subtotal="average" baseField="0" baseItem="0" numFmtId="164"/>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lar" xr10:uid="{37C6A0B2-547C-47C6-89FF-1F9EB930C3B8}" sourceName="Pilar">
  <pivotTables>
    <pivotTable tabId="5" name="PivotTable1"/>
    <pivotTable tabId="5" name="PivotTable2"/>
    <pivotTable tabId="5" name="PivotTable3"/>
  </pivotTables>
  <data>
    <tabular pivotCacheId="86021675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able" xr10:uid="{90E647CD-092F-4409-B280-3B0C0D0CD736}" sourceName="Responsable">
  <pivotTables>
    <pivotTable tabId="5" name="PivotTable1"/>
    <pivotTable tabId="5" name="PivotTable2"/>
    <pivotTable tabId="5" name="PivotTable3"/>
  </pivotTables>
  <data>
    <tabular pivotCacheId="860216752">
      <items count="5">
        <i x="1" s="1"/>
        <i x="0" s="1"/>
        <i x="3" s="1"/>
        <i x="2" s="1"/>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able__Nombre" xr10:uid="{479AD05E-E3B0-4B06-A818-DCEF7B397A76}" sourceName="Responsable (Nombre)">
  <pivotTables>
    <pivotTable tabId="5" name="PivotTable1"/>
    <pivotTable tabId="5" name="PivotTable2"/>
    <pivotTable tabId="5" name="PivotTable3"/>
  </pivotTables>
  <data>
    <tabular pivotCacheId="860216752">
      <items count="6">
        <i x="0" s="1"/>
        <i x="2" s="1" nd="1"/>
        <i x="1" s="1" nd="1"/>
        <i x="3" s="1" nd="1"/>
        <i x="5"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tado" xr10:uid="{A283C28A-A0F4-4874-B837-1816A415C2F6}" sourceName="Estado">
  <pivotTables>
    <pivotTable tabId="5" name="PivotTable1"/>
    <pivotTable tabId="5" name="PivotTable2"/>
    <pivotTable tabId="5" name="PivotTable3"/>
  </pivotTables>
  <data>
    <tabular pivotCacheId="860216752">
      <items count="4">
        <i x="0" s="1"/>
        <i x="1" s="1"/>
        <i x="2" s="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lar" xr10:uid="{16D28432-74F6-4609-88D9-2BB03A9452DA}" cache="Slicer_Pilar" caption="Pilar" rowHeight="234950"/>
  <slicer name="Responsable" xr10:uid="{62FEEF74-B590-41CB-8BA1-B2BD6891306B}" cache="Slicer_Responsable" caption="Responsable" rowHeight="234950"/>
  <slicer name="Responsable (Nombre)" xr10:uid="{EC399692-7FF2-4C12-979C-C11B00A7CE6D}" cache="Slicer_Responsable__Nombre" caption="Responsable (Nombre)" rowHeight="234950"/>
  <slicer name="Estado" xr10:uid="{B1D8621E-0783-4547-B6F2-1BFDB4ACA218}" cache="Slicer_Estado" caption="Estado" startItem="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914BF1-5D28-4D8E-A82F-797200A15A72}" name="tbl_Datos" displayName="tbl_Datos" ref="A1:P225" totalsRowShown="0" headerRowDxfId="20" dataDxfId="19" headerRowBorderDxfId="17" tableBorderDxfId="18" totalsRowBorderDxfId="16">
  <autoFilter ref="A1:P225" xr:uid="{21914BF1-5D28-4D8E-A82F-797200A15A72}"/>
  <tableColumns count="16">
    <tableColumn id="1" xr3:uid="{657ED461-D43C-45C2-B39B-9050447457EC}" name="ID_Ejecutable" dataDxfId="15"/>
    <tableColumn id="2" xr3:uid="{B3E0922F-9FCC-4173-A419-0DE5563ED33E}" name="Pilar" dataDxfId="14"/>
    <tableColumn id="3" xr3:uid="{4F5B9DF0-B800-444F-AAEF-F2309188E611}" name="Punto_COE" dataDxfId="13"/>
    <tableColumn id="4" xr3:uid="{76F38CDA-A4F2-4F3A-B750-B25F7140A2A3}" name="Nombre_Tarea" dataDxfId="12"/>
    <tableColumn id="5" xr3:uid="{D5D36239-37A5-4960-B619-C45C703D2156}" name="Fecha_Asignada" dataDxfId="11"/>
    <tableColumn id="6" xr3:uid="{91EA5172-CFB5-42A7-85B0-3609D54B21FE}" name="Estado" dataDxfId="10"/>
    <tableColumn id="7" xr3:uid="{D83DC500-CCBB-425D-ACAE-36DEF34D94EB}" name="Responsable" dataDxfId="9"/>
    <tableColumn id="8" xr3:uid="{C5D98B23-178D-4FD5-9E92-3000372FDCA7}" name="Fecha_Completada" dataDxfId="8"/>
    <tableColumn id="9" xr3:uid="{BEEB409D-22C4-479A-88BF-3B36DF204CE3}" name="Link_Evidencia_Real" dataDxfId="7" dataCellStyle="Hyperlink"/>
    <tableColumn id="10" xr3:uid="{21A4B11C-648A-424C-B265-76952E91AD57}" name="Comentarios_Ejecucion" dataDxfId="6"/>
    <tableColumn id="11" xr3:uid="{D2F06741-62A1-45FF-90CE-AF474D56EC42}" name="Descripcion_Instrucciones" dataDxfId="5"/>
    <tableColumn id="12" xr3:uid="{59DBF3BE-E486-4FF8-A992-7737AE411157}" name="Checklist" dataDxfId="4"/>
    <tableColumn id="13" xr3:uid="{4BCDD637-AA6F-4674-946C-AA772C34FCD7}" name="ID_Maestra_Ref" dataDxfId="3"/>
    <tableColumn id="14" xr3:uid="{680AC8F6-63D9-469A-8BCA-1C485682E82F}" name="Atajo para Editar Tarea" dataDxfId="2"/>
    <tableColumn id="16" xr3:uid="{637EA0AB-23EB-4579-B9DF-467AE388DEA9}" name="Responsable (Nombre)" dataDxfId="1"/>
    <tableColumn id="15" xr3:uid="{1261F07F-A84B-47ED-91F9-91E04AE4FB1A}" name="Dias_Para_Completar" dataDxfId="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_Asignada" xr10:uid="{AFA38C5A-1FE0-4764-A623-55BCDA3F09E4}" sourceName="Fecha_Asignada">
  <pivotTables>
    <pivotTable tabId="5" name="PivotTable1"/>
    <pivotTable tabId="5" name="PivotTable2"/>
    <pivotTable tabId="5" name="PivotTable3"/>
  </pivotTables>
  <state minimalRefreshVersion="6" lastRefreshVersion="6" pivotCacheId="860216752"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_Asignada 1" xr10:uid="{DA6D9404-3C48-45CA-8590-C977AA5738C3}" cache="NativeTimeline_Fecha_Asignada" caption="Fecha_Asignada" level="2" selectionLevel="2" scrollPosition="2025-01-01T00:00:00"/>
</timeline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01352-6CDA-43B0-BACC-6C6E76808747}">
  <sheetPr codeName="Sheet3"/>
  <dimension ref="A1:J64"/>
  <sheetViews>
    <sheetView workbookViewId="0">
      <selection activeCell="A46" sqref="A46"/>
    </sheetView>
  </sheetViews>
  <sheetFormatPr defaultRowHeight="14.45"/>
  <cols>
    <col min="1" max="1" width="14.28515625" bestFit="1" customWidth="1"/>
    <col min="2" max="2" width="89.140625" bestFit="1" customWidth="1"/>
  </cols>
  <sheetData>
    <row r="1" spans="1:2" ht="17.45">
      <c r="A1" s="35" t="s">
        <v>0</v>
      </c>
    </row>
    <row r="3" spans="1:2">
      <c r="A3" s="2" t="s">
        <v>1</v>
      </c>
      <c r="B3" s="2" t="s">
        <v>2</v>
      </c>
    </row>
    <row r="4" spans="1:2">
      <c r="A4" s="1" t="s">
        <v>3</v>
      </c>
      <c r="B4" s="1" t="s">
        <v>4</v>
      </c>
    </row>
    <row r="5" spans="1:2">
      <c r="A5" s="1" t="s">
        <v>5</v>
      </c>
      <c r="B5" s="1" t="s">
        <v>6</v>
      </c>
    </row>
    <row r="6" spans="1:2">
      <c r="A6" s="1" t="s">
        <v>7</v>
      </c>
      <c r="B6" s="1" t="s">
        <v>8</v>
      </c>
    </row>
    <row r="7" spans="1:2">
      <c r="A7" s="1" t="s">
        <v>9</v>
      </c>
      <c r="B7" s="1" t="s">
        <v>10</v>
      </c>
    </row>
    <row r="8" spans="1:2">
      <c r="A8" s="1" t="s">
        <v>11</v>
      </c>
      <c r="B8" s="1" t="s">
        <v>12</v>
      </c>
    </row>
    <row r="9" spans="1:2">
      <c r="A9" s="1" t="s">
        <v>13</v>
      </c>
      <c r="B9" s="1" t="s">
        <v>14</v>
      </c>
    </row>
    <row r="10" spans="1:2">
      <c r="A10" s="1" t="s">
        <v>15</v>
      </c>
      <c r="B10" s="1" t="s">
        <v>16</v>
      </c>
    </row>
    <row r="11" spans="1:2">
      <c r="A11" s="1" t="s">
        <v>17</v>
      </c>
      <c r="B11" s="1" t="s">
        <v>18</v>
      </c>
    </row>
    <row r="12" spans="1:2">
      <c r="A12" s="1" t="s">
        <v>19</v>
      </c>
      <c r="B12" s="1" t="s">
        <v>20</v>
      </c>
    </row>
    <row r="13" spans="1:2">
      <c r="A13" s="1" t="s">
        <v>21</v>
      </c>
      <c r="B13" s="1" t="s">
        <v>22</v>
      </c>
    </row>
    <row r="14" spans="1:2">
      <c r="A14" s="1" t="s">
        <v>23</v>
      </c>
      <c r="B14" s="1" t="s">
        <v>24</v>
      </c>
    </row>
    <row r="15" spans="1:2">
      <c r="A15" s="1" t="s">
        <v>25</v>
      </c>
      <c r="B15" s="1" t="s">
        <v>26</v>
      </c>
    </row>
    <row r="16" spans="1:2">
      <c r="A16" s="1" t="s">
        <v>27</v>
      </c>
      <c r="B16" s="1" t="s">
        <v>28</v>
      </c>
    </row>
    <row r="17" spans="1:10">
      <c r="A17" s="1" t="s">
        <v>29</v>
      </c>
      <c r="B17" s="1" t="s">
        <v>30</v>
      </c>
    </row>
    <row r="18" spans="1:10">
      <c r="A18" s="1" t="s">
        <v>31</v>
      </c>
      <c r="B18" s="1" t="s">
        <v>32</v>
      </c>
    </row>
    <row r="19" spans="1:10">
      <c r="A19" s="1" t="s">
        <v>33</v>
      </c>
      <c r="B19" s="1" t="s">
        <v>34</v>
      </c>
    </row>
    <row r="20" spans="1:10">
      <c r="A20" s="1" t="s">
        <v>35</v>
      </c>
      <c r="B20" s="1" t="s">
        <v>36</v>
      </c>
    </row>
    <row r="21" spans="1:10">
      <c r="A21" s="1" t="s">
        <v>37</v>
      </c>
      <c r="B21" s="1" t="s">
        <v>38</v>
      </c>
    </row>
    <row r="22" spans="1:10">
      <c r="A22" s="1" t="s">
        <v>39</v>
      </c>
      <c r="B22" s="1" t="s">
        <v>40</v>
      </c>
    </row>
    <row r="23" spans="1:10">
      <c r="A23" s="1" t="s">
        <v>41</v>
      </c>
      <c r="B23" s="1" t="s">
        <v>42</v>
      </c>
    </row>
    <row r="24" spans="1:10">
      <c r="A24" s="1" t="s">
        <v>43</v>
      </c>
      <c r="B24" s="1" t="s">
        <v>44</v>
      </c>
    </row>
    <row r="25" spans="1:10">
      <c r="A25" s="1" t="s">
        <v>45</v>
      </c>
      <c r="B25" s="1" t="s">
        <v>46</v>
      </c>
    </row>
    <row r="26" spans="1:10">
      <c r="A26" s="1" t="s">
        <v>47</v>
      </c>
      <c r="B26" s="1" t="s">
        <v>48</v>
      </c>
    </row>
    <row r="27" spans="1:10" ht="15" thickBot="1"/>
    <row r="28" spans="1:10" ht="17.45">
      <c r="A28" s="36" t="s">
        <v>49</v>
      </c>
      <c r="B28" s="37"/>
      <c r="C28" s="37"/>
      <c r="D28" s="37"/>
      <c r="E28" s="37"/>
      <c r="F28" s="37"/>
      <c r="G28" s="37"/>
      <c r="H28" s="37"/>
      <c r="I28" s="37"/>
      <c r="J28" s="38"/>
    </row>
    <row r="29" spans="1:10" ht="14.45" customHeight="1">
      <c r="A29" s="39"/>
      <c r="B29" s="40"/>
      <c r="C29" s="40"/>
      <c r="D29" s="40"/>
      <c r="E29" s="40"/>
      <c r="F29" s="40"/>
      <c r="G29" s="40"/>
      <c r="H29" s="40"/>
      <c r="I29" s="40"/>
      <c r="J29" s="41"/>
    </row>
    <row r="30" spans="1:10" ht="15.6">
      <c r="A30" s="42" t="s">
        <v>50</v>
      </c>
      <c r="B30" s="40"/>
      <c r="C30" s="40"/>
      <c r="D30" s="40"/>
      <c r="E30" s="40"/>
      <c r="F30" s="40"/>
      <c r="G30" s="40"/>
      <c r="H30" s="40"/>
      <c r="I30" s="40"/>
      <c r="J30" s="41"/>
    </row>
    <row r="31" spans="1:10" ht="30" customHeight="1">
      <c r="A31" s="133" t="s">
        <v>51</v>
      </c>
      <c r="B31" s="134"/>
      <c r="C31" s="134"/>
      <c r="D31" s="134"/>
      <c r="E31" s="134"/>
      <c r="F31" s="134"/>
      <c r="G31" s="134"/>
      <c r="H31" s="134"/>
      <c r="I31" s="134"/>
      <c r="J31" s="135"/>
    </row>
    <row r="32" spans="1:10" ht="14.45" customHeight="1">
      <c r="A32" s="43"/>
      <c r="B32" s="44"/>
      <c r="C32" s="44"/>
      <c r="D32" s="44"/>
      <c r="E32" s="44"/>
      <c r="F32" s="44"/>
      <c r="G32" s="44"/>
      <c r="H32" s="44"/>
      <c r="I32" s="44"/>
      <c r="J32" s="45"/>
    </row>
    <row r="33" spans="1:10" ht="15.6">
      <c r="A33" s="42" t="s">
        <v>52</v>
      </c>
      <c r="B33" s="40"/>
      <c r="C33" s="40"/>
      <c r="D33" s="40"/>
      <c r="E33" s="40"/>
      <c r="F33" s="40"/>
      <c r="G33" s="40"/>
      <c r="H33" s="40"/>
      <c r="I33" s="40"/>
      <c r="J33" s="41"/>
    </row>
    <row r="34" spans="1:10" ht="15.6">
      <c r="A34" s="46" t="s">
        <v>53</v>
      </c>
      <c r="B34" s="40"/>
      <c r="C34" s="40"/>
      <c r="D34" s="40"/>
      <c r="E34" s="40"/>
      <c r="F34" s="40"/>
      <c r="G34" s="40"/>
      <c r="H34" s="40"/>
      <c r="I34" s="40"/>
      <c r="J34" s="41"/>
    </row>
    <row r="35" spans="1:10">
      <c r="A35" s="47"/>
      <c r="B35" s="40"/>
      <c r="C35" s="40"/>
      <c r="D35" s="40"/>
      <c r="E35" s="40"/>
      <c r="F35" s="40"/>
      <c r="G35" s="40"/>
      <c r="H35" s="40"/>
      <c r="I35" s="40"/>
      <c r="J35" s="41"/>
    </row>
    <row r="36" spans="1:10" ht="19.149999999999999" customHeight="1">
      <c r="A36" s="48" t="s">
        <v>54</v>
      </c>
      <c r="B36" s="40"/>
      <c r="C36" s="40"/>
      <c r="D36" s="40"/>
      <c r="E36" s="40"/>
      <c r="F36" s="40"/>
      <c r="G36" s="40"/>
      <c r="H36" s="40"/>
      <c r="I36" s="40"/>
      <c r="J36" s="41"/>
    </row>
    <row r="37" spans="1:10" ht="33.6" customHeight="1">
      <c r="A37" s="136" t="s">
        <v>55</v>
      </c>
      <c r="B37" s="137"/>
      <c r="C37" s="137"/>
      <c r="D37" s="137"/>
      <c r="E37" s="137"/>
      <c r="F37" s="137"/>
      <c r="G37" s="137"/>
      <c r="H37" s="137"/>
      <c r="I37" s="137"/>
      <c r="J37" s="138"/>
    </row>
    <row r="38" spans="1:10" ht="34.15" customHeight="1">
      <c r="A38" s="136" t="s">
        <v>56</v>
      </c>
      <c r="B38" s="137"/>
      <c r="C38" s="137"/>
      <c r="D38" s="137"/>
      <c r="E38" s="137"/>
      <c r="F38" s="137"/>
      <c r="G38" s="137"/>
      <c r="H38" s="137"/>
      <c r="I38" s="137"/>
      <c r="J38" s="138"/>
    </row>
    <row r="39" spans="1:10" ht="15.6">
      <c r="A39" s="42"/>
      <c r="B39" s="40"/>
      <c r="C39" s="40"/>
      <c r="D39" s="40"/>
      <c r="E39" s="40"/>
      <c r="F39" s="40"/>
      <c r="G39" s="40"/>
      <c r="H39" s="40"/>
      <c r="I39" s="40"/>
      <c r="J39" s="41"/>
    </row>
    <row r="40" spans="1:10" ht="15.6">
      <c r="A40" s="42" t="s">
        <v>57</v>
      </c>
      <c r="B40" s="40"/>
      <c r="C40" s="40"/>
      <c r="D40" s="40"/>
      <c r="E40" s="40"/>
      <c r="F40" s="40"/>
      <c r="G40" s="40"/>
      <c r="H40" s="40"/>
      <c r="I40" s="40"/>
      <c r="J40" s="41"/>
    </row>
    <row r="41" spans="1:10">
      <c r="A41" s="47"/>
      <c r="B41" s="40"/>
      <c r="C41" s="40"/>
      <c r="D41" s="40"/>
      <c r="E41" s="40"/>
      <c r="F41" s="40"/>
      <c r="G41" s="40"/>
      <c r="H41" s="40"/>
      <c r="I41" s="40"/>
      <c r="J41" s="41"/>
    </row>
    <row r="42" spans="1:10" ht="15.6">
      <c r="A42" s="49" t="s">
        <v>58</v>
      </c>
      <c r="B42" s="40"/>
      <c r="C42" s="40"/>
      <c r="D42" s="40"/>
      <c r="E42" s="40"/>
      <c r="F42" s="40"/>
      <c r="G42" s="40"/>
      <c r="H42" s="40"/>
      <c r="I42" s="40"/>
      <c r="J42" s="41"/>
    </row>
    <row r="43" spans="1:10" ht="15.6">
      <c r="A43" s="49" t="s">
        <v>59</v>
      </c>
      <c r="B43" s="40"/>
      <c r="C43" s="40"/>
      <c r="D43" s="40"/>
      <c r="E43" s="40"/>
      <c r="F43" s="40"/>
      <c r="G43" s="40"/>
      <c r="H43" s="40"/>
      <c r="I43" s="40"/>
      <c r="J43" s="41"/>
    </row>
    <row r="44" spans="1:10" ht="15.6">
      <c r="A44" s="49" t="s">
        <v>60</v>
      </c>
      <c r="B44" s="40"/>
      <c r="C44" s="40"/>
      <c r="D44" s="40"/>
      <c r="E44" s="40"/>
      <c r="F44" s="40"/>
      <c r="G44" s="40"/>
      <c r="H44" s="40"/>
      <c r="I44" s="40"/>
      <c r="J44" s="41"/>
    </row>
    <row r="45" spans="1:10" ht="15.6">
      <c r="A45" s="49" t="s">
        <v>61</v>
      </c>
      <c r="B45" s="40"/>
      <c r="C45" s="40"/>
      <c r="D45" s="40"/>
      <c r="E45" s="40"/>
      <c r="F45" s="40"/>
      <c r="G45" s="40"/>
      <c r="H45" s="40"/>
      <c r="I45" s="40"/>
      <c r="J45" s="41"/>
    </row>
    <row r="46" spans="1:10" ht="15.6">
      <c r="A46" s="51" t="s">
        <v>62</v>
      </c>
      <c r="B46" s="40"/>
      <c r="C46" s="40"/>
      <c r="D46" s="40"/>
      <c r="E46" s="40"/>
      <c r="F46" s="40"/>
      <c r="G46" s="40"/>
      <c r="H46" s="40"/>
      <c r="I46" s="40"/>
      <c r="J46" s="41"/>
    </row>
    <row r="47" spans="1:10" ht="33" customHeight="1">
      <c r="A47" s="136" t="s">
        <v>63</v>
      </c>
      <c r="B47" s="137"/>
      <c r="C47" s="137"/>
      <c r="D47" s="137"/>
      <c r="E47" s="137"/>
      <c r="F47" s="137"/>
      <c r="G47" s="137"/>
      <c r="H47" s="137"/>
      <c r="I47" s="137"/>
      <c r="J47" s="138"/>
    </row>
    <row r="48" spans="1:10" ht="33" customHeight="1">
      <c r="A48" s="136" t="s">
        <v>64</v>
      </c>
      <c r="B48" s="137"/>
      <c r="C48" s="137"/>
      <c r="D48" s="137"/>
      <c r="E48" s="137"/>
      <c r="F48" s="137"/>
      <c r="G48" s="137"/>
      <c r="H48" s="137"/>
      <c r="I48" s="137"/>
      <c r="J48" s="138"/>
    </row>
    <row r="49" spans="1:10" ht="15.6">
      <c r="A49" s="51"/>
      <c r="B49" s="40"/>
      <c r="C49" s="40"/>
      <c r="D49" s="40"/>
      <c r="E49" s="40"/>
      <c r="F49" s="40"/>
      <c r="G49" s="40"/>
      <c r="H49" s="40"/>
      <c r="I49" s="40"/>
      <c r="J49" s="41"/>
    </row>
    <row r="50" spans="1:10" ht="15.6">
      <c r="A50" s="42" t="s">
        <v>65</v>
      </c>
      <c r="B50" s="40"/>
      <c r="C50" s="40"/>
      <c r="D50" s="40"/>
      <c r="E50" s="40"/>
      <c r="F50" s="40"/>
      <c r="G50" s="40"/>
      <c r="H50" s="40"/>
      <c r="I50" s="40"/>
      <c r="J50" s="41"/>
    </row>
    <row r="51" spans="1:10">
      <c r="A51" s="47"/>
      <c r="B51" s="40"/>
      <c r="C51" s="40"/>
      <c r="D51" s="40"/>
      <c r="E51" s="40"/>
      <c r="F51" s="40"/>
      <c r="G51" s="40"/>
      <c r="H51" s="40"/>
      <c r="I51" s="40"/>
      <c r="J51" s="41"/>
    </row>
    <row r="52" spans="1:10" ht="15.6">
      <c r="A52" s="49" t="s">
        <v>66</v>
      </c>
      <c r="B52" s="40"/>
      <c r="C52" s="40"/>
      <c r="D52" s="40"/>
      <c r="E52" s="40"/>
      <c r="F52" s="40"/>
      <c r="G52" s="40"/>
      <c r="H52" s="40"/>
      <c r="I52" s="40"/>
      <c r="J52" s="41"/>
    </row>
    <row r="53" spans="1:10" ht="37.9" customHeight="1">
      <c r="A53" s="133" t="s">
        <v>67</v>
      </c>
      <c r="B53" s="134"/>
      <c r="C53" s="134"/>
      <c r="D53" s="134"/>
      <c r="E53" s="134"/>
      <c r="F53" s="134"/>
      <c r="G53" s="134"/>
      <c r="H53" s="134"/>
      <c r="I53" s="134"/>
      <c r="J53" s="135"/>
    </row>
    <row r="54" spans="1:10" ht="15.6">
      <c r="A54" s="49" t="s">
        <v>68</v>
      </c>
      <c r="B54" s="40"/>
      <c r="C54" s="40"/>
      <c r="D54" s="40"/>
      <c r="E54" s="40"/>
      <c r="F54" s="40"/>
      <c r="G54" s="40"/>
      <c r="H54" s="40"/>
      <c r="I54" s="40"/>
      <c r="J54" s="41"/>
    </row>
    <row r="55" spans="1:10" ht="32.450000000000003" customHeight="1">
      <c r="A55" s="133" t="s">
        <v>69</v>
      </c>
      <c r="B55" s="134"/>
      <c r="C55" s="134"/>
      <c r="D55" s="134"/>
      <c r="E55" s="134"/>
      <c r="F55" s="134"/>
      <c r="G55" s="134"/>
      <c r="H55" s="134"/>
      <c r="I55" s="134"/>
      <c r="J55" s="135"/>
    </row>
    <row r="56" spans="1:10" ht="69" customHeight="1">
      <c r="A56" s="133" t="s">
        <v>70</v>
      </c>
      <c r="B56" s="134"/>
      <c r="C56" s="134"/>
      <c r="D56" s="134"/>
      <c r="E56" s="134"/>
      <c r="F56" s="134"/>
      <c r="G56" s="134"/>
      <c r="H56" s="134"/>
      <c r="I56" s="134"/>
      <c r="J56" s="135"/>
    </row>
    <row r="57" spans="1:10" ht="15.6">
      <c r="A57" s="49" t="s">
        <v>71</v>
      </c>
      <c r="B57" s="40"/>
      <c r="C57" s="40"/>
      <c r="D57" s="40"/>
      <c r="E57" s="40"/>
      <c r="F57" s="40"/>
      <c r="G57" s="40"/>
      <c r="H57" s="40"/>
      <c r="I57" s="40"/>
      <c r="J57" s="41"/>
    </row>
    <row r="58" spans="1:10" ht="15.6">
      <c r="A58" s="50" t="s">
        <v>72</v>
      </c>
      <c r="B58" s="40"/>
      <c r="C58" s="40"/>
      <c r="D58" s="40"/>
      <c r="E58" s="40"/>
      <c r="F58" s="40"/>
      <c r="G58" s="40"/>
      <c r="H58" s="40"/>
      <c r="I58" s="40"/>
      <c r="J58" s="41"/>
    </row>
    <row r="59" spans="1:10" ht="15.6">
      <c r="A59" s="50"/>
      <c r="B59" s="40"/>
      <c r="C59" s="40"/>
      <c r="D59" s="40"/>
      <c r="E59" s="40"/>
      <c r="F59" s="40"/>
      <c r="G59" s="40"/>
      <c r="H59" s="40"/>
      <c r="I59" s="40"/>
      <c r="J59" s="41"/>
    </row>
    <row r="60" spans="1:10" ht="15.6">
      <c r="A60" s="42" t="s">
        <v>73</v>
      </c>
      <c r="B60" s="40"/>
      <c r="C60" s="40"/>
      <c r="D60" s="40"/>
      <c r="E60" s="40"/>
      <c r="F60" s="40"/>
      <c r="G60" s="40"/>
      <c r="H60" s="40"/>
      <c r="I60" s="40"/>
      <c r="J60" s="41"/>
    </row>
    <row r="61" spans="1:10">
      <c r="A61" s="47"/>
      <c r="B61" s="40"/>
      <c r="C61" s="40"/>
      <c r="D61" s="40"/>
      <c r="E61" s="40"/>
      <c r="F61" s="40"/>
      <c r="G61" s="40"/>
      <c r="H61" s="40"/>
      <c r="I61" s="40"/>
      <c r="J61" s="41"/>
    </row>
    <row r="62" spans="1:10" ht="15.6">
      <c r="A62" s="49" t="s">
        <v>74</v>
      </c>
      <c r="B62" s="40"/>
      <c r="C62" s="40"/>
      <c r="D62" s="40"/>
      <c r="E62" s="40"/>
      <c r="F62" s="40"/>
      <c r="G62" s="40"/>
      <c r="H62" s="40"/>
      <c r="I62" s="40"/>
      <c r="J62" s="41"/>
    </row>
    <row r="63" spans="1:10" ht="32.450000000000003" customHeight="1">
      <c r="A63" s="139" t="s">
        <v>75</v>
      </c>
      <c r="B63" s="140"/>
      <c r="C63" s="140"/>
      <c r="D63" s="140"/>
      <c r="E63" s="140"/>
      <c r="F63" s="140"/>
      <c r="G63" s="140"/>
      <c r="H63" s="140"/>
      <c r="I63" s="140"/>
      <c r="J63" s="141"/>
    </row>
    <row r="64" spans="1:10" ht="15" thickBot="1">
      <c r="A64" s="52"/>
      <c r="B64" s="53"/>
      <c r="C64" s="53"/>
      <c r="D64" s="53"/>
      <c r="E64" s="53"/>
      <c r="F64" s="53"/>
      <c r="G64" s="53"/>
      <c r="H64" s="53"/>
      <c r="I64" s="53"/>
      <c r="J64" s="54"/>
    </row>
  </sheetData>
  <sheetProtection sheet="1" objects="1" scenarios="1"/>
  <mergeCells count="9">
    <mergeCell ref="A55:J55"/>
    <mergeCell ref="A63:J63"/>
    <mergeCell ref="A56:J56"/>
    <mergeCell ref="A31:J31"/>
    <mergeCell ref="A37:J37"/>
    <mergeCell ref="A38:J38"/>
    <mergeCell ref="A48:J48"/>
    <mergeCell ref="A53:J53"/>
    <mergeCell ref="A47:J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D139-17D6-40B8-975C-283E84BEF66A}">
  <sheetPr codeName="Sheet5"/>
  <dimension ref="A1:AH1048576"/>
  <sheetViews>
    <sheetView tabSelected="1" zoomScale="85" zoomScaleNormal="85" workbookViewId="0">
      <pane ySplit="17" topLeftCell="A18" activePane="bottomLeft" state="frozen"/>
      <selection pane="bottomLeft" activeCell="F10" sqref="F10"/>
    </sheetView>
  </sheetViews>
  <sheetFormatPr defaultRowHeight="14.45"/>
  <cols>
    <col min="1" max="1" width="9" customWidth="1"/>
    <col min="2" max="2" width="16.140625" customWidth="1"/>
    <col min="3" max="3" width="14.28515625" customWidth="1"/>
    <col min="7" max="7" width="13.28515625" customWidth="1"/>
    <col min="8" max="8" width="18.28515625" customWidth="1"/>
    <col min="9" max="9" width="30" bestFit="1" customWidth="1"/>
    <col min="10" max="10" width="17.7109375" bestFit="1" customWidth="1"/>
    <col min="11" max="11" width="7.7109375" bestFit="1" customWidth="1"/>
    <col min="12" max="12" width="12.28515625" bestFit="1" customWidth="1"/>
    <col min="13" max="13" width="12.140625" bestFit="1" customWidth="1"/>
    <col min="14" max="14" width="10.28515625" customWidth="1"/>
    <col min="15" max="15" width="1.28515625" customWidth="1"/>
    <col min="16" max="16" width="2.140625" style="22" customWidth="1"/>
    <col min="17" max="17" width="31.85546875" bestFit="1" customWidth="1"/>
    <col min="18" max="18" width="19.140625" bestFit="1" customWidth="1"/>
    <col min="19" max="19" width="8.140625" bestFit="1" customWidth="1"/>
    <col min="20" max="20" width="13" bestFit="1" customWidth="1"/>
    <col min="21" max="21" width="12.7109375" bestFit="1" customWidth="1"/>
    <col min="22" max="24" width="11.42578125" bestFit="1" customWidth="1"/>
    <col min="25" max="26" width="16.140625" bestFit="1" customWidth="1"/>
    <col min="27" max="27" width="15.28515625" bestFit="1" customWidth="1"/>
    <col min="28" max="29" width="8.85546875"/>
    <col min="30" max="30" width="31.28515625" bestFit="1" customWidth="1"/>
    <col min="31" max="31" width="19.140625" bestFit="1" customWidth="1"/>
    <col min="32" max="32" width="10" bestFit="1" customWidth="1"/>
    <col min="33" max="33" width="8" bestFit="1" customWidth="1"/>
    <col min="34" max="35" width="11.42578125" bestFit="1" customWidth="1"/>
  </cols>
  <sheetData>
    <row r="1" spans="1:34" ht="33.6" customHeight="1">
      <c r="A1" s="12"/>
      <c r="B1" s="13"/>
      <c r="C1" s="13"/>
      <c r="D1" s="13"/>
      <c r="E1" s="13"/>
      <c r="F1" s="13"/>
      <c r="G1" s="14"/>
      <c r="H1" s="130"/>
      <c r="I1" s="130"/>
      <c r="J1" s="130"/>
      <c r="K1" s="130"/>
      <c r="L1" s="130"/>
      <c r="M1" s="130"/>
      <c r="N1" s="130"/>
      <c r="O1" s="130"/>
      <c r="Q1" s="132" t="s">
        <v>76</v>
      </c>
      <c r="X1" s="63" t="s">
        <v>77</v>
      </c>
    </row>
    <row r="2" spans="1:34">
      <c r="A2" s="21"/>
      <c r="B2" s="16"/>
      <c r="C2" s="16"/>
      <c r="D2" s="16"/>
      <c r="E2" s="16"/>
      <c r="F2" s="16"/>
      <c r="G2" s="17"/>
      <c r="H2" s="130"/>
      <c r="I2" s="130"/>
      <c r="J2" s="130"/>
      <c r="K2" s="130"/>
      <c r="L2" s="130"/>
      <c r="M2" s="130"/>
      <c r="N2" s="130"/>
      <c r="O2" s="130"/>
      <c r="Q2" s="58" t="s">
        <v>78</v>
      </c>
      <c r="R2" s="58" t="s">
        <v>79</v>
      </c>
      <c r="S2" s="59"/>
      <c r="T2" s="59"/>
      <c r="U2" s="59"/>
      <c r="V2" s="59"/>
      <c r="Z2" s="58" t="s">
        <v>80</v>
      </c>
      <c r="AA2" s="59" t="s">
        <v>81</v>
      </c>
      <c r="AD2" s="58" t="s">
        <v>82</v>
      </c>
      <c r="AE2" s="58" t="s">
        <v>79</v>
      </c>
      <c r="AF2" s="59"/>
      <c r="AG2" s="59"/>
      <c r="AH2" s="59"/>
    </row>
    <row r="3" spans="1:34">
      <c r="A3" s="15"/>
      <c r="B3" s="16"/>
      <c r="C3" s="16"/>
      <c r="D3" s="16"/>
      <c r="E3" s="16"/>
      <c r="F3" s="16"/>
      <c r="G3" s="17"/>
      <c r="H3" s="130"/>
      <c r="I3" s="130"/>
      <c r="J3" s="130"/>
      <c r="K3" s="130"/>
      <c r="L3" s="130"/>
      <c r="M3" s="130"/>
      <c r="N3" s="130"/>
      <c r="O3" s="130"/>
      <c r="Q3" s="58" t="s">
        <v>80</v>
      </c>
      <c r="R3" s="59" t="s">
        <v>7</v>
      </c>
      <c r="S3" s="59" t="s">
        <v>83</v>
      </c>
      <c r="T3" s="59" t="s">
        <v>84</v>
      </c>
      <c r="U3" s="59" t="s">
        <v>85</v>
      </c>
      <c r="V3" s="59" t="s">
        <v>86</v>
      </c>
      <c r="Z3" s="59" t="s">
        <v>87</v>
      </c>
      <c r="AA3" s="59">
        <v>45</v>
      </c>
      <c r="AD3" s="58" t="s">
        <v>80</v>
      </c>
      <c r="AE3" s="59" t="s">
        <v>87</v>
      </c>
      <c r="AF3" s="59" t="s">
        <v>88</v>
      </c>
      <c r="AG3" s="59" t="s">
        <v>89</v>
      </c>
      <c r="AH3" s="59" t="s">
        <v>86</v>
      </c>
    </row>
    <row r="4" spans="1:34">
      <c r="A4" s="15"/>
      <c r="B4" s="16"/>
      <c r="C4" s="16"/>
      <c r="D4" s="16"/>
      <c r="E4" s="16"/>
      <c r="F4" s="16"/>
      <c r="G4" s="17"/>
      <c r="H4" s="130"/>
      <c r="I4" s="130"/>
      <c r="J4" s="130"/>
      <c r="K4" s="130"/>
      <c r="L4" s="130"/>
      <c r="M4" s="130"/>
      <c r="N4" s="130"/>
      <c r="O4" s="130"/>
      <c r="Q4" s="59" t="s">
        <v>87</v>
      </c>
      <c r="R4" s="59"/>
      <c r="S4" s="59">
        <v>44</v>
      </c>
      <c r="T4" s="59"/>
      <c r="U4" s="59">
        <v>1</v>
      </c>
      <c r="V4" s="59">
        <v>45</v>
      </c>
      <c r="Z4" s="59" t="s">
        <v>88</v>
      </c>
      <c r="AA4" s="59">
        <v>154</v>
      </c>
      <c r="AD4" s="123">
        <v>45846</v>
      </c>
      <c r="AE4" s="59">
        <v>45</v>
      </c>
      <c r="AF4" s="59">
        <v>131</v>
      </c>
      <c r="AG4" s="59">
        <v>23</v>
      </c>
      <c r="AH4" s="59">
        <v>199</v>
      </c>
    </row>
    <row r="5" spans="1:34">
      <c r="A5" s="21"/>
      <c r="B5" s="16"/>
      <c r="C5" s="16"/>
      <c r="D5" s="16"/>
      <c r="E5" s="16"/>
      <c r="F5" s="16"/>
      <c r="G5" s="17"/>
      <c r="H5" s="130"/>
      <c r="I5" s="130"/>
      <c r="J5" s="130"/>
      <c r="K5" s="130"/>
      <c r="L5" s="130"/>
      <c r="M5" s="130"/>
      <c r="N5" s="130"/>
      <c r="O5" s="130"/>
      <c r="Q5" s="59" t="s">
        <v>88</v>
      </c>
      <c r="R5" s="59">
        <v>67</v>
      </c>
      <c r="S5" s="59"/>
      <c r="T5" s="59">
        <v>51</v>
      </c>
      <c r="U5" s="59">
        <v>36</v>
      </c>
      <c r="V5" s="59">
        <v>154</v>
      </c>
      <c r="Z5" s="59" t="s">
        <v>89</v>
      </c>
      <c r="AA5" s="59">
        <v>23</v>
      </c>
      <c r="AD5" s="123">
        <v>45847</v>
      </c>
      <c r="AE5" s="59"/>
      <c r="AF5" s="59">
        <v>23</v>
      </c>
      <c r="AG5" s="59"/>
      <c r="AH5" s="59">
        <v>23</v>
      </c>
    </row>
    <row r="6" spans="1:34">
      <c r="A6" s="15"/>
      <c r="B6" s="16"/>
      <c r="C6" s="16"/>
      <c r="D6" s="16"/>
      <c r="E6" s="16"/>
      <c r="F6" s="16"/>
      <c r="G6" s="17"/>
      <c r="H6" s="130"/>
      <c r="I6" s="130"/>
      <c r="J6" s="130"/>
      <c r="K6" s="130"/>
      <c r="L6" s="130"/>
      <c r="M6" s="130"/>
      <c r="N6" s="130"/>
      <c r="O6" s="130"/>
      <c r="Q6" s="59" t="s">
        <v>89</v>
      </c>
      <c r="R6" s="59">
        <v>13</v>
      </c>
      <c r="S6" s="59"/>
      <c r="T6" s="59">
        <v>6</v>
      </c>
      <c r="U6" s="59">
        <v>4</v>
      </c>
      <c r="V6" s="59">
        <v>23</v>
      </c>
      <c r="Z6" s="59" t="s">
        <v>86</v>
      </c>
      <c r="AA6" s="59">
        <v>222</v>
      </c>
      <c r="AD6" s="59" t="s">
        <v>86</v>
      </c>
      <c r="AE6" s="59">
        <v>45</v>
      </c>
      <c r="AF6" s="59">
        <v>154</v>
      </c>
      <c r="AG6" s="59">
        <v>23</v>
      </c>
      <c r="AH6" s="59">
        <v>222</v>
      </c>
    </row>
    <row r="7" spans="1:34">
      <c r="A7" s="15"/>
      <c r="B7" s="16"/>
      <c r="C7" s="16"/>
      <c r="D7" s="16"/>
      <c r="E7" s="16"/>
      <c r="F7" s="16"/>
      <c r="G7" s="17"/>
      <c r="H7" s="130"/>
      <c r="I7" s="130"/>
      <c r="J7" s="130"/>
      <c r="K7" s="130"/>
      <c r="L7" s="130"/>
      <c r="M7" s="130"/>
      <c r="N7" s="130"/>
      <c r="O7" s="130"/>
      <c r="Q7" s="59" t="s">
        <v>86</v>
      </c>
      <c r="R7" s="59">
        <v>80</v>
      </c>
      <c r="S7" s="59">
        <v>44</v>
      </c>
      <c r="T7" s="59">
        <v>57</v>
      </c>
      <c r="U7" s="59">
        <v>41</v>
      </c>
      <c r="V7" s="59">
        <v>222</v>
      </c>
    </row>
    <row r="8" spans="1:34">
      <c r="A8" s="15"/>
      <c r="B8" s="16"/>
      <c r="C8" s="16"/>
      <c r="D8" s="16"/>
      <c r="E8" s="16"/>
      <c r="F8" s="16"/>
      <c r="G8" s="17"/>
      <c r="H8" s="130"/>
      <c r="I8" s="130"/>
      <c r="J8" s="130"/>
      <c r="K8" s="130"/>
      <c r="L8" s="130"/>
      <c r="M8" s="130"/>
      <c r="N8" s="130"/>
      <c r="O8" s="130"/>
    </row>
    <row r="9" spans="1:34">
      <c r="A9" s="15"/>
      <c r="B9" s="16"/>
      <c r="C9" s="16"/>
      <c r="D9" s="16"/>
      <c r="E9" s="16"/>
      <c r="F9" s="16"/>
      <c r="G9" s="17"/>
      <c r="H9" s="130"/>
      <c r="I9" s="130"/>
      <c r="J9" s="130"/>
      <c r="K9" s="130"/>
      <c r="L9" s="130"/>
      <c r="M9" s="130"/>
      <c r="N9" s="130"/>
      <c r="O9" s="130"/>
    </row>
    <row r="10" spans="1:34">
      <c r="A10" s="15"/>
      <c r="B10" s="16"/>
      <c r="C10" s="16"/>
      <c r="D10" s="16"/>
      <c r="E10" s="16"/>
      <c r="F10" s="16"/>
      <c r="G10" s="17"/>
      <c r="H10" s="130"/>
      <c r="I10" s="130"/>
      <c r="J10" s="130"/>
      <c r="K10" s="130"/>
      <c r="L10" s="130"/>
      <c r="M10" s="130"/>
      <c r="N10" s="130"/>
      <c r="O10" s="130"/>
    </row>
    <row r="11" spans="1:34">
      <c r="A11" s="15"/>
      <c r="B11" s="16"/>
      <c r="C11" s="16"/>
      <c r="D11" s="16"/>
      <c r="E11" s="16"/>
      <c r="F11" s="16"/>
      <c r="G11" s="17"/>
      <c r="H11" s="130"/>
      <c r="I11" s="130"/>
      <c r="J11" s="130"/>
      <c r="K11" s="130"/>
      <c r="L11" s="130"/>
      <c r="M11" s="130"/>
      <c r="N11" s="130"/>
      <c r="O11" s="130"/>
    </row>
    <row r="12" spans="1:34" ht="12.6" customHeight="1" thickBot="1">
      <c r="A12" s="15"/>
      <c r="B12" s="16"/>
      <c r="C12" s="16"/>
      <c r="D12" s="16"/>
      <c r="E12" s="16"/>
      <c r="F12" s="16"/>
      <c r="G12" s="17"/>
      <c r="H12" s="130"/>
      <c r="I12" s="130"/>
      <c r="J12" s="130"/>
      <c r="K12" s="130"/>
      <c r="L12" s="130"/>
      <c r="M12" s="130"/>
      <c r="N12" s="130"/>
      <c r="O12" s="130"/>
    </row>
    <row r="13" spans="1:34">
      <c r="A13" s="18"/>
      <c r="B13" s="19"/>
      <c r="C13" s="19"/>
      <c r="D13" s="19"/>
      <c r="E13" s="19"/>
      <c r="F13" s="19"/>
      <c r="G13" s="20"/>
      <c r="H13" s="130"/>
      <c r="I13" s="130"/>
      <c r="J13" s="130"/>
      <c r="K13" s="130"/>
      <c r="L13" s="130"/>
      <c r="M13" s="130"/>
      <c r="N13" s="130"/>
      <c r="O13" s="130"/>
    </row>
    <row r="14" spans="1:34">
      <c r="A14" s="15"/>
      <c r="B14" s="16"/>
      <c r="C14" s="16"/>
      <c r="D14" s="16"/>
      <c r="E14" s="16"/>
      <c r="F14" s="16"/>
      <c r="G14" s="17"/>
      <c r="H14" s="130"/>
      <c r="I14" s="130"/>
      <c r="J14" s="130"/>
      <c r="K14" s="130"/>
      <c r="L14" s="142" t="s">
        <v>90</v>
      </c>
      <c r="M14" s="142"/>
      <c r="N14" s="131">
        <f>+Mapeo_Verificacion!M2</f>
        <v>108</v>
      </c>
      <c r="O14" s="130"/>
    </row>
    <row r="15" spans="1:34">
      <c r="A15" s="15"/>
      <c r="B15" s="16"/>
      <c r="C15" s="126"/>
      <c r="D15" s="126"/>
      <c r="E15" s="16"/>
      <c r="F15" s="16"/>
      <c r="G15" s="17"/>
      <c r="H15" s="130"/>
      <c r="I15" s="130"/>
      <c r="J15" s="130"/>
      <c r="K15" s="130"/>
      <c r="L15" s="142" t="s">
        <v>91</v>
      </c>
      <c r="M15" s="142"/>
      <c r="N15" s="131">
        <f>+Mapeo_Verificacion!M3</f>
        <v>118</v>
      </c>
      <c r="O15" s="130"/>
    </row>
    <row r="16" spans="1:34">
      <c r="A16" s="15"/>
      <c r="B16" s="16"/>
      <c r="C16" s="16"/>
      <c r="D16" s="16"/>
      <c r="E16" s="16"/>
      <c r="F16" s="16"/>
      <c r="G16" s="17"/>
      <c r="H16" s="130"/>
      <c r="I16" s="130"/>
      <c r="J16" s="130"/>
      <c r="K16" s="130"/>
      <c r="L16" s="143" t="s">
        <v>92</v>
      </c>
      <c r="M16" s="143"/>
      <c r="N16" s="144">
        <f>+Mapeo_Verificacion!M4</f>
        <v>0.9152542372881356</v>
      </c>
      <c r="O16" s="130"/>
    </row>
    <row r="17" spans="1:15" ht="15" thickBot="1">
      <c r="A17" s="127"/>
      <c r="B17" s="128"/>
      <c r="C17" s="128"/>
      <c r="D17" s="128"/>
      <c r="E17" s="128"/>
      <c r="F17" s="128"/>
      <c r="G17" s="129"/>
      <c r="H17" s="130"/>
      <c r="I17" s="130"/>
      <c r="J17" s="130"/>
      <c r="K17" s="130"/>
      <c r="L17" s="143"/>
      <c r="M17" s="143"/>
      <c r="N17" s="144"/>
      <c r="O17" s="130"/>
    </row>
    <row r="18" spans="1:15">
      <c r="A18" s="130"/>
      <c r="B18" s="130"/>
      <c r="C18" s="130"/>
      <c r="D18" s="130"/>
      <c r="E18" s="130"/>
      <c r="F18" s="130"/>
      <c r="G18" s="130"/>
      <c r="H18" s="130"/>
      <c r="I18" s="130"/>
      <c r="J18" s="130"/>
      <c r="K18" s="130"/>
      <c r="L18" s="130"/>
      <c r="M18" s="130"/>
      <c r="N18" s="130"/>
      <c r="O18" s="130"/>
    </row>
    <row r="19" spans="1:15">
      <c r="A19" s="130"/>
      <c r="B19" s="130"/>
      <c r="C19" s="130"/>
      <c r="D19" s="130"/>
      <c r="E19" s="130"/>
      <c r="F19" s="130"/>
      <c r="G19" s="130"/>
      <c r="H19" s="130"/>
      <c r="I19" s="130"/>
      <c r="J19" s="130"/>
      <c r="K19" s="130"/>
      <c r="L19" s="130"/>
      <c r="M19" s="130"/>
      <c r="N19" s="130"/>
      <c r="O19" s="130"/>
    </row>
    <row r="20" spans="1:15">
      <c r="A20" s="130"/>
      <c r="B20" s="130"/>
      <c r="C20" s="130"/>
      <c r="D20" s="130"/>
      <c r="E20" s="130"/>
      <c r="F20" s="130"/>
      <c r="G20" s="130"/>
      <c r="H20" s="130"/>
      <c r="I20" s="130"/>
      <c r="J20" s="130"/>
      <c r="K20" s="130"/>
      <c r="L20" s="130"/>
      <c r="M20" s="130"/>
      <c r="N20" s="130"/>
      <c r="O20" s="130"/>
    </row>
    <row r="21" spans="1:15">
      <c r="A21" s="130"/>
      <c r="B21" s="130"/>
      <c r="C21" s="130"/>
      <c r="D21" s="130"/>
      <c r="E21" s="130"/>
      <c r="F21" s="130"/>
      <c r="G21" s="130"/>
      <c r="H21" s="130"/>
      <c r="I21" s="130"/>
      <c r="J21" s="130"/>
      <c r="K21" s="130"/>
      <c r="L21" s="130"/>
      <c r="M21" s="130"/>
      <c r="N21" s="130"/>
      <c r="O21" s="130"/>
    </row>
    <row r="22" spans="1:15">
      <c r="A22" s="130"/>
      <c r="B22" s="130"/>
      <c r="C22" s="130"/>
      <c r="D22" s="130"/>
      <c r="E22" s="130"/>
      <c r="F22" s="130"/>
      <c r="G22" s="130"/>
      <c r="H22" s="130"/>
      <c r="I22" s="130"/>
      <c r="J22" s="130"/>
      <c r="K22" s="130"/>
      <c r="L22" s="130"/>
      <c r="M22" s="130"/>
      <c r="N22" s="130"/>
      <c r="O22" s="130"/>
    </row>
    <row r="23" spans="1:15">
      <c r="A23" s="130"/>
      <c r="B23" s="130"/>
      <c r="C23" s="130"/>
      <c r="D23" s="130"/>
      <c r="E23" s="130"/>
      <c r="F23" s="130"/>
      <c r="G23" s="130"/>
      <c r="H23" s="130"/>
      <c r="I23" s="130"/>
      <c r="J23" s="130"/>
      <c r="K23" s="130"/>
      <c r="L23" s="130"/>
      <c r="M23" s="130"/>
      <c r="N23" s="130"/>
      <c r="O23" s="130"/>
    </row>
    <row r="24" spans="1:15">
      <c r="A24" s="130"/>
      <c r="B24" s="130"/>
      <c r="C24" s="130"/>
      <c r="D24" s="130"/>
      <c r="E24" s="130"/>
      <c r="F24" s="130"/>
      <c r="G24" s="130"/>
      <c r="H24" s="130"/>
      <c r="I24" s="130"/>
      <c r="J24" s="130"/>
      <c r="K24" s="130"/>
      <c r="L24" s="130"/>
      <c r="M24" s="130"/>
      <c r="N24" s="130"/>
      <c r="O24" s="130"/>
    </row>
    <row r="25" spans="1:15">
      <c r="A25" s="130"/>
      <c r="B25" s="130"/>
      <c r="C25" s="130"/>
      <c r="D25" s="130"/>
      <c r="E25" s="130"/>
      <c r="F25" s="130"/>
      <c r="G25" s="130"/>
      <c r="H25" s="130"/>
      <c r="I25" s="130"/>
      <c r="J25" s="130"/>
      <c r="K25" s="130"/>
      <c r="L25" s="130"/>
      <c r="M25" s="130"/>
      <c r="N25" s="130"/>
      <c r="O25" s="130"/>
    </row>
    <row r="26" spans="1:15">
      <c r="A26" s="130"/>
      <c r="B26" s="130"/>
      <c r="C26" s="130"/>
      <c r="D26" s="130"/>
      <c r="E26" s="130"/>
      <c r="F26" s="130"/>
      <c r="G26" s="130"/>
      <c r="H26" s="130"/>
      <c r="I26" s="130"/>
      <c r="J26" s="130"/>
      <c r="K26" s="130"/>
      <c r="L26" s="130"/>
      <c r="M26" s="130"/>
      <c r="N26" s="130"/>
      <c r="O26" s="130"/>
    </row>
    <row r="27" spans="1:15">
      <c r="A27" s="130"/>
      <c r="B27" s="130"/>
      <c r="C27" s="130"/>
      <c r="D27" s="130"/>
      <c r="E27" s="130"/>
      <c r="F27" s="130"/>
      <c r="G27" s="130"/>
      <c r="H27" s="130"/>
      <c r="I27" s="130"/>
      <c r="J27" s="130"/>
      <c r="K27" s="130"/>
      <c r="L27" s="130"/>
      <c r="M27" s="130"/>
      <c r="N27" s="130"/>
      <c r="O27" s="130"/>
    </row>
    <row r="28" spans="1:15">
      <c r="A28" s="130"/>
      <c r="B28" s="130"/>
      <c r="C28" s="130"/>
      <c r="D28" s="130"/>
      <c r="E28" s="130"/>
      <c r="F28" s="130"/>
      <c r="G28" s="130"/>
      <c r="H28" s="130"/>
      <c r="I28" s="130"/>
      <c r="J28" s="130"/>
      <c r="K28" s="130"/>
      <c r="L28" s="130"/>
      <c r="M28" s="130"/>
      <c r="N28" s="130"/>
      <c r="O28" s="130"/>
    </row>
    <row r="29" spans="1:15">
      <c r="A29" s="130"/>
      <c r="B29" s="130"/>
      <c r="C29" s="130"/>
      <c r="D29" s="130"/>
      <c r="E29" s="130"/>
      <c r="F29" s="130"/>
      <c r="G29" s="130"/>
      <c r="H29" s="130"/>
      <c r="I29" s="130"/>
      <c r="J29" s="130"/>
      <c r="K29" s="130"/>
      <c r="L29" s="130"/>
      <c r="M29" s="130"/>
      <c r="N29" s="130"/>
      <c r="O29" s="130"/>
    </row>
    <row r="30" spans="1:15">
      <c r="A30" s="130"/>
      <c r="B30" s="130"/>
      <c r="C30" s="130"/>
      <c r="D30" s="130"/>
      <c r="E30" s="130"/>
      <c r="F30" s="130"/>
      <c r="G30" s="130"/>
      <c r="H30" s="130"/>
      <c r="I30" s="130"/>
      <c r="J30" s="130"/>
      <c r="K30" s="130"/>
      <c r="L30" s="130"/>
      <c r="M30" s="130"/>
      <c r="N30" s="130"/>
      <c r="O30" s="130"/>
    </row>
    <row r="31" spans="1:15">
      <c r="A31" s="130"/>
      <c r="B31" s="130"/>
      <c r="C31" s="130"/>
      <c r="D31" s="130"/>
      <c r="E31" s="130"/>
      <c r="F31" s="130"/>
      <c r="G31" s="130"/>
      <c r="H31" s="130"/>
      <c r="I31" s="130"/>
      <c r="J31" s="130"/>
      <c r="K31" s="130"/>
      <c r="L31" s="130"/>
      <c r="M31" s="130"/>
      <c r="N31" s="130"/>
      <c r="O31" s="130"/>
    </row>
    <row r="32" spans="1:15">
      <c r="A32" s="130"/>
      <c r="B32" s="130"/>
      <c r="C32" s="130"/>
      <c r="D32" s="130"/>
      <c r="E32" s="130"/>
      <c r="F32" s="130"/>
      <c r="G32" s="130"/>
      <c r="H32" s="130"/>
      <c r="I32" s="130"/>
      <c r="J32" s="130"/>
      <c r="K32" s="130"/>
      <c r="L32" s="130"/>
      <c r="M32" s="130"/>
      <c r="N32" s="130"/>
      <c r="O32" s="130"/>
    </row>
    <row r="33" spans="1:15">
      <c r="A33" s="130"/>
      <c r="B33" s="130"/>
      <c r="C33" s="130"/>
      <c r="D33" s="130"/>
      <c r="E33" s="130"/>
      <c r="F33" s="130"/>
      <c r="G33" s="130"/>
      <c r="H33" s="130"/>
      <c r="I33" s="130"/>
      <c r="J33" s="130"/>
      <c r="K33" s="130"/>
      <c r="L33" s="130"/>
      <c r="M33" s="130"/>
      <c r="N33" s="130"/>
      <c r="O33" s="130"/>
    </row>
    <row r="34" spans="1:15">
      <c r="A34" s="130"/>
      <c r="B34" s="130"/>
      <c r="C34" s="130"/>
      <c r="D34" s="130"/>
      <c r="E34" s="130"/>
      <c r="F34" s="130"/>
      <c r="G34" s="130"/>
      <c r="H34" s="130"/>
      <c r="I34" s="130"/>
      <c r="J34" s="130"/>
      <c r="K34" s="130"/>
      <c r="L34" s="130"/>
      <c r="M34" s="130"/>
      <c r="N34" s="130"/>
      <c r="O34" s="130"/>
    </row>
    <row r="35" spans="1:15">
      <c r="A35" s="130"/>
      <c r="B35" s="130"/>
      <c r="C35" s="130"/>
      <c r="D35" s="130"/>
      <c r="E35" s="130"/>
      <c r="F35" s="130"/>
      <c r="G35" s="130"/>
      <c r="H35" s="130"/>
      <c r="I35" s="130"/>
      <c r="J35" s="130"/>
      <c r="K35" s="130"/>
      <c r="L35" s="130"/>
      <c r="M35" s="130"/>
      <c r="N35" s="130"/>
      <c r="O35" s="130"/>
    </row>
    <row r="36" spans="1:15">
      <c r="A36" s="130"/>
      <c r="B36" s="130"/>
      <c r="C36" s="130"/>
      <c r="D36" s="130"/>
      <c r="E36" s="130"/>
      <c r="F36" s="130"/>
      <c r="G36" s="130"/>
      <c r="H36" s="130"/>
      <c r="I36" s="130"/>
      <c r="J36" s="130"/>
      <c r="K36" s="130"/>
      <c r="L36" s="130"/>
      <c r="M36" s="130"/>
      <c r="N36" s="130"/>
      <c r="O36" s="130"/>
    </row>
    <row r="37" spans="1:15">
      <c r="A37" s="130"/>
      <c r="B37" s="130"/>
      <c r="C37" s="130"/>
      <c r="D37" s="130"/>
      <c r="E37" s="130"/>
      <c r="F37" s="130"/>
      <c r="G37" s="130"/>
      <c r="H37" s="130"/>
      <c r="I37" s="130"/>
      <c r="J37" s="130"/>
      <c r="K37" s="130"/>
      <c r="L37" s="130"/>
      <c r="M37" s="130"/>
      <c r="N37" s="130"/>
      <c r="O37" s="130"/>
    </row>
    <row r="38" spans="1:15">
      <c r="A38" s="130"/>
      <c r="B38" s="130"/>
      <c r="C38" s="130"/>
      <c r="D38" s="130"/>
      <c r="E38" s="130"/>
      <c r="F38" s="130"/>
      <c r="G38" s="130"/>
      <c r="H38" s="130"/>
      <c r="I38" s="130"/>
      <c r="J38" s="130"/>
      <c r="K38" s="130"/>
      <c r="L38" s="130"/>
      <c r="M38" s="130"/>
      <c r="N38" s="130"/>
      <c r="O38" s="130"/>
    </row>
    <row r="39" spans="1:15">
      <c r="A39" s="130"/>
      <c r="B39" s="130"/>
      <c r="C39" s="130"/>
      <c r="D39" s="130"/>
      <c r="E39" s="130"/>
      <c r="F39" s="130"/>
      <c r="G39" s="130"/>
      <c r="H39" s="130"/>
      <c r="I39" s="130"/>
      <c r="J39" s="130"/>
      <c r="K39" s="130"/>
      <c r="L39" s="130"/>
      <c r="M39" s="130"/>
      <c r="N39" s="130"/>
      <c r="O39" s="130"/>
    </row>
    <row r="40" spans="1:15">
      <c r="A40" s="130"/>
      <c r="B40" s="130"/>
      <c r="C40" s="130"/>
      <c r="D40" s="130"/>
      <c r="E40" s="130"/>
      <c r="F40" s="130"/>
      <c r="G40" s="130"/>
      <c r="H40" s="130"/>
      <c r="I40" s="130"/>
      <c r="J40" s="130"/>
      <c r="K40" s="130"/>
      <c r="L40" s="130"/>
      <c r="M40" s="130"/>
      <c r="N40" s="130"/>
      <c r="O40" s="130"/>
    </row>
    <row r="41" spans="1:15">
      <c r="A41" s="130"/>
      <c r="B41" s="130"/>
      <c r="C41" s="130"/>
      <c r="D41" s="130"/>
      <c r="E41" s="130"/>
      <c r="F41" s="130"/>
      <c r="G41" s="130"/>
      <c r="H41" s="130"/>
      <c r="I41" s="130"/>
      <c r="J41" s="130"/>
      <c r="K41" s="130"/>
      <c r="L41" s="130"/>
      <c r="M41" s="130"/>
      <c r="N41" s="130"/>
      <c r="O41" s="130"/>
    </row>
    <row r="42" spans="1:15">
      <c r="A42" s="130"/>
      <c r="B42" s="130"/>
      <c r="C42" s="130"/>
      <c r="D42" s="130"/>
      <c r="E42" s="130"/>
      <c r="F42" s="130"/>
      <c r="G42" s="130"/>
      <c r="H42" s="130"/>
      <c r="I42" s="130"/>
      <c r="J42" s="130"/>
      <c r="K42" s="130"/>
      <c r="L42" s="130"/>
      <c r="M42" s="130"/>
      <c r="N42" s="130"/>
      <c r="O42" s="130"/>
    </row>
    <row r="43" spans="1:15">
      <c r="A43" s="130"/>
      <c r="B43" s="130"/>
      <c r="C43" s="130"/>
      <c r="D43" s="130"/>
      <c r="E43" s="130"/>
      <c r="F43" s="130"/>
      <c r="G43" s="130"/>
      <c r="H43" s="130"/>
      <c r="I43" s="130"/>
      <c r="J43" s="130"/>
      <c r="K43" s="130"/>
      <c r="L43" s="130"/>
      <c r="M43" s="130"/>
      <c r="N43" s="130"/>
      <c r="O43" s="130"/>
    </row>
    <row r="44" spans="1:15">
      <c r="A44" s="130"/>
      <c r="B44" s="130"/>
      <c r="C44" s="130"/>
      <c r="D44" s="130"/>
      <c r="E44" s="130"/>
      <c r="F44" s="130"/>
      <c r="G44" s="130"/>
      <c r="H44" s="130"/>
      <c r="I44" s="130"/>
      <c r="J44" s="130"/>
      <c r="K44" s="130"/>
      <c r="L44" s="130"/>
      <c r="M44" s="130"/>
      <c r="N44" s="130"/>
      <c r="O44" s="130"/>
    </row>
    <row r="45" spans="1:15">
      <c r="A45" s="130"/>
      <c r="B45" s="130"/>
      <c r="C45" s="130"/>
      <c r="D45" s="130"/>
      <c r="E45" s="130"/>
      <c r="F45" s="130"/>
      <c r="G45" s="130"/>
      <c r="H45" s="130"/>
      <c r="I45" s="130"/>
      <c r="J45" s="130"/>
      <c r="K45" s="130"/>
      <c r="L45" s="130"/>
      <c r="M45" s="130"/>
      <c r="N45" s="130"/>
      <c r="O45" s="130"/>
    </row>
    <row r="46" spans="1:15">
      <c r="A46" s="130"/>
      <c r="B46" s="130"/>
      <c r="C46" s="130"/>
      <c r="D46" s="130"/>
      <c r="E46" s="130"/>
      <c r="F46" s="130"/>
      <c r="G46" s="130"/>
      <c r="H46" s="130"/>
      <c r="I46" s="130"/>
      <c r="J46" s="130"/>
      <c r="K46" s="130"/>
      <c r="L46" s="130"/>
      <c r="M46" s="130"/>
      <c r="N46" s="130"/>
      <c r="O46" s="130"/>
    </row>
    <row r="47" spans="1:15">
      <c r="A47" s="130"/>
      <c r="B47" s="130"/>
      <c r="C47" s="130"/>
      <c r="D47" s="130"/>
      <c r="E47" s="130"/>
      <c r="F47" s="130"/>
      <c r="G47" s="130"/>
      <c r="H47" s="130"/>
      <c r="I47" s="130"/>
      <c r="J47" s="130"/>
      <c r="K47" s="130"/>
      <c r="L47" s="130"/>
      <c r="M47" s="130"/>
      <c r="N47" s="130"/>
      <c r="O47" s="130"/>
    </row>
    <row r="48" spans="1:15">
      <c r="A48" s="130"/>
      <c r="B48" s="130"/>
      <c r="C48" s="130"/>
      <c r="D48" s="130"/>
      <c r="E48" s="130"/>
      <c r="F48" s="130"/>
      <c r="G48" s="130"/>
      <c r="H48" s="130"/>
      <c r="I48" s="130"/>
      <c r="J48" s="130"/>
      <c r="K48" s="130"/>
      <c r="L48" s="130"/>
      <c r="M48" s="130"/>
      <c r="N48" s="130"/>
      <c r="O48" s="130"/>
    </row>
    <row r="49" spans="1:15">
      <c r="A49" s="130"/>
      <c r="B49" s="130"/>
      <c r="C49" s="130"/>
      <c r="D49" s="130"/>
      <c r="E49" s="130"/>
      <c r="F49" s="130"/>
      <c r="G49" s="130"/>
      <c r="H49" s="130"/>
      <c r="I49" s="130"/>
      <c r="J49" s="130"/>
      <c r="K49" s="130"/>
      <c r="L49" s="130"/>
      <c r="M49" s="130"/>
      <c r="N49" s="130"/>
      <c r="O49" s="130"/>
    </row>
    <row r="50" spans="1:15" ht="15.6" customHeight="1">
      <c r="A50" s="22"/>
      <c r="B50" s="22"/>
      <c r="C50" s="22"/>
      <c r="D50" s="22"/>
      <c r="E50" s="22"/>
      <c r="F50" s="22"/>
      <c r="G50" s="22"/>
      <c r="H50" s="22"/>
      <c r="I50" s="22"/>
      <c r="J50" s="22"/>
      <c r="K50" s="22"/>
      <c r="L50" s="22"/>
      <c r="M50" s="22"/>
      <c r="N50" s="22"/>
      <c r="O50" s="22"/>
    </row>
    <row r="51" spans="1:15">
      <c r="A51" s="22"/>
      <c r="B51" s="22"/>
      <c r="C51" s="22"/>
      <c r="D51" s="22"/>
      <c r="E51" s="22"/>
      <c r="F51" s="22"/>
      <c r="G51" s="22"/>
      <c r="H51" s="22"/>
      <c r="I51" s="22"/>
      <c r="J51" s="22"/>
      <c r="K51" s="22"/>
      <c r="L51" s="22"/>
      <c r="M51" s="22"/>
      <c r="N51" s="22"/>
      <c r="O51" s="22"/>
    </row>
    <row r="52" spans="1:15">
      <c r="A52" s="22"/>
      <c r="B52" s="22"/>
      <c r="C52" s="22"/>
      <c r="D52" s="22"/>
      <c r="E52" s="22"/>
      <c r="F52" s="22"/>
      <c r="G52" s="22"/>
      <c r="H52" s="22"/>
      <c r="I52" s="22"/>
      <c r="J52" s="22"/>
      <c r="K52" s="22"/>
      <c r="L52" s="22"/>
      <c r="M52" s="22"/>
      <c r="N52" s="22"/>
      <c r="O52" s="22"/>
    </row>
    <row r="53" spans="1:15">
      <c r="A53" s="22"/>
      <c r="B53" s="22"/>
      <c r="C53" s="22"/>
      <c r="D53" s="22"/>
      <c r="E53" s="22"/>
      <c r="F53" s="22"/>
      <c r="G53" s="22"/>
      <c r="H53" s="22"/>
      <c r="I53" s="22"/>
      <c r="J53" s="22"/>
      <c r="K53" s="22"/>
      <c r="L53" s="22"/>
      <c r="M53" s="22"/>
      <c r="N53" s="22"/>
      <c r="O53" s="22"/>
    </row>
    <row r="54" spans="1:15">
      <c r="A54" s="22"/>
      <c r="B54" s="22"/>
      <c r="C54" s="22"/>
      <c r="D54" s="22"/>
      <c r="E54" s="22"/>
      <c r="F54" s="22"/>
      <c r="G54" s="22"/>
      <c r="H54" s="22"/>
      <c r="I54" s="22"/>
      <c r="J54" s="22"/>
      <c r="K54" s="22"/>
      <c r="L54" s="22"/>
      <c r="M54" s="22"/>
      <c r="N54" s="22"/>
      <c r="O54" s="22"/>
    </row>
    <row r="55" spans="1:15">
      <c r="A55" s="22"/>
      <c r="B55" s="22"/>
      <c r="C55" s="22"/>
      <c r="D55" s="22"/>
      <c r="E55" s="22"/>
      <c r="F55" s="22"/>
      <c r="G55" s="22"/>
      <c r="H55" s="22"/>
      <c r="I55" s="22"/>
      <c r="J55" s="22"/>
      <c r="K55" s="22"/>
      <c r="L55" s="22"/>
      <c r="M55" s="22"/>
      <c r="N55" s="22"/>
      <c r="O55" s="22"/>
    </row>
    <row r="56" spans="1:15">
      <c r="A56" s="22"/>
      <c r="B56" s="22"/>
      <c r="C56" s="22"/>
      <c r="D56" s="22"/>
      <c r="E56" s="22"/>
      <c r="F56" s="22"/>
      <c r="G56" s="22"/>
      <c r="H56" s="22"/>
      <c r="I56" s="22"/>
      <c r="J56" s="22"/>
      <c r="K56" s="22"/>
      <c r="L56" s="22"/>
      <c r="M56" s="22"/>
      <c r="N56" s="22"/>
      <c r="O56" s="22"/>
    </row>
    <row r="57" spans="1:15">
      <c r="A57" s="22"/>
      <c r="B57" s="22"/>
      <c r="C57" s="22"/>
      <c r="D57" s="22"/>
      <c r="E57" s="22"/>
      <c r="F57" s="22"/>
      <c r="G57" s="22"/>
      <c r="H57" s="22"/>
      <c r="I57" s="22"/>
      <c r="J57" s="22"/>
      <c r="K57" s="22"/>
      <c r="L57" s="22"/>
      <c r="M57" s="22"/>
      <c r="N57" s="22"/>
      <c r="O57" s="22"/>
    </row>
    <row r="58" spans="1:15">
      <c r="A58" s="22"/>
      <c r="B58" s="22"/>
      <c r="C58" s="22"/>
      <c r="D58" s="22"/>
      <c r="E58" s="22"/>
      <c r="F58" s="22"/>
      <c r="G58" s="22"/>
      <c r="H58" s="22"/>
      <c r="I58" s="22"/>
      <c r="J58" s="22"/>
      <c r="K58" s="22"/>
      <c r="L58" s="22"/>
      <c r="M58" s="22"/>
      <c r="N58" s="22"/>
      <c r="O58" s="22"/>
    </row>
    <row r="59" spans="1:15">
      <c r="A59" s="22"/>
      <c r="B59" s="22"/>
      <c r="C59" s="22"/>
      <c r="D59" s="22"/>
      <c r="E59" s="22"/>
      <c r="F59" s="22"/>
      <c r="G59" s="22"/>
      <c r="H59" s="22"/>
      <c r="I59" s="22"/>
      <c r="J59" s="22"/>
      <c r="K59" s="22"/>
      <c r="L59" s="22"/>
      <c r="M59" s="22"/>
      <c r="N59" s="22"/>
      <c r="O59" s="22"/>
    </row>
    <row r="60" spans="1:15">
      <c r="A60" s="22"/>
      <c r="B60" s="22"/>
      <c r="C60" s="22"/>
      <c r="D60" s="22"/>
      <c r="E60" s="22"/>
      <c r="F60" s="22"/>
      <c r="G60" s="22"/>
      <c r="H60" s="22"/>
      <c r="I60" s="22"/>
      <c r="J60" s="22"/>
      <c r="K60" s="22"/>
      <c r="L60" s="22"/>
      <c r="M60" s="22"/>
      <c r="N60" s="22"/>
      <c r="O60" s="22"/>
    </row>
    <row r="61" spans="1:15">
      <c r="A61" s="22"/>
      <c r="B61" s="22"/>
      <c r="C61" s="22"/>
      <c r="D61" s="22"/>
      <c r="E61" s="22"/>
      <c r="F61" s="22"/>
      <c r="G61" s="22"/>
      <c r="H61" s="22"/>
      <c r="I61" s="22"/>
      <c r="J61" s="22"/>
      <c r="K61" s="22"/>
      <c r="L61" s="22"/>
      <c r="M61" s="22"/>
      <c r="N61" s="22"/>
      <c r="O61" s="22"/>
    </row>
    <row r="62" spans="1:15">
      <c r="A62" s="22"/>
      <c r="B62" s="22"/>
      <c r="C62" s="22"/>
      <c r="D62" s="22"/>
      <c r="E62" s="22"/>
      <c r="F62" s="22"/>
      <c r="G62" s="22"/>
      <c r="H62" s="22"/>
      <c r="I62" s="22"/>
      <c r="J62" s="22"/>
      <c r="K62" s="22"/>
      <c r="L62" s="22"/>
      <c r="M62" s="22"/>
      <c r="N62" s="22"/>
      <c r="O62" s="22"/>
    </row>
    <row r="63" spans="1:15">
      <c r="A63" s="22"/>
      <c r="B63" s="22"/>
      <c r="C63" s="22"/>
      <c r="D63" s="22"/>
      <c r="E63" s="22"/>
      <c r="F63" s="22"/>
      <c r="G63" s="22"/>
      <c r="H63" s="22"/>
      <c r="I63" s="22"/>
      <c r="J63" s="22"/>
      <c r="K63" s="22"/>
      <c r="L63" s="22"/>
      <c r="M63" s="22"/>
      <c r="N63" s="22"/>
      <c r="O63" s="22"/>
    </row>
    <row r="64" spans="1:15">
      <c r="A64" s="22"/>
      <c r="B64" s="22"/>
      <c r="C64" s="22"/>
      <c r="D64" s="22"/>
      <c r="E64" s="22"/>
      <c r="F64" s="22"/>
      <c r="G64" s="22"/>
      <c r="H64" s="22"/>
      <c r="I64" s="22"/>
      <c r="J64" s="22"/>
      <c r="K64" s="22"/>
      <c r="L64" s="22"/>
      <c r="M64" s="22"/>
      <c r="N64" s="22"/>
      <c r="O64" s="22"/>
    </row>
    <row r="65" spans="1:15">
      <c r="A65" s="22"/>
      <c r="B65" s="22"/>
      <c r="C65" s="22"/>
      <c r="D65" s="22"/>
      <c r="E65" s="22"/>
      <c r="F65" s="22"/>
      <c r="G65" s="22"/>
      <c r="H65" s="22"/>
      <c r="I65" s="22"/>
      <c r="J65" s="22"/>
      <c r="K65" s="22"/>
      <c r="L65" s="22"/>
      <c r="M65" s="22"/>
      <c r="N65" s="22"/>
      <c r="O65" s="22"/>
    </row>
    <row r="66" spans="1:15">
      <c r="A66" s="22"/>
      <c r="B66" s="22"/>
      <c r="C66" s="22"/>
      <c r="D66" s="22"/>
      <c r="E66" s="22"/>
      <c r="F66" s="22"/>
      <c r="G66" s="22"/>
      <c r="H66" s="22"/>
      <c r="I66" s="22"/>
      <c r="J66" s="22"/>
      <c r="K66" s="22"/>
      <c r="L66" s="22"/>
      <c r="M66" s="22"/>
      <c r="N66" s="22"/>
      <c r="O66" s="22"/>
    </row>
    <row r="67" spans="1:15">
      <c r="A67" s="22"/>
      <c r="B67" s="22"/>
      <c r="C67" s="22"/>
      <c r="D67" s="22"/>
      <c r="E67" s="22"/>
      <c r="F67" s="22"/>
      <c r="G67" s="22"/>
      <c r="H67" s="22"/>
      <c r="I67" s="22"/>
      <c r="J67" s="22"/>
      <c r="K67" s="22"/>
      <c r="L67" s="22"/>
      <c r="M67" s="22"/>
      <c r="N67" s="22"/>
      <c r="O67" s="22"/>
    </row>
    <row r="68" spans="1:15">
      <c r="A68" s="22"/>
      <c r="B68" s="22"/>
      <c r="C68" s="22"/>
      <c r="D68" s="22"/>
      <c r="E68" s="22"/>
      <c r="F68" s="22"/>
      <c r="G68" s="22"/>
      <c r="H68" s="22"/>
      <c r="I68" s="22"/>
      <c r="J68" s="22"/>
      <c r="K68" s="22"/>
      <c r="L68" s="22"/>
      <c r="M68" s="22"/>
      <c r="N68" s="22"/>
      <c r="O68" s="22"/>
    </row>
    <row r="69" spans="1:15">
      <c r="A69" s="22"/>
      <c r="B69" s="22"/>
      <c r="C69" s="22"/>
      <c r="D69" s="22"/>
      <c r="E69" s="22"/>
      <c r="F69" s="22"/>
      <c r="G69" s="22"/>
      <c r="H69" s="22"/>
      <c r="I69" s="22"/>
      <c r="J69" s="22"/>
      <c r="K69" s="22"/>
      <c r="L69" s="22"/>
      <c r="M69" s="22"/>
      <c r="N69" s="22"/>
      <c r="O69" s="22"/>
    </row>
    <row r="70" spans="1:15">
      <c r="A70" s="22"/>
      <c r="B70" s="22"/>
      <c r="C70" s="22"/>
      <c r="D70" s="22"/>
      <c r="E70" s="22"/>
      <c r="F70" s="22"/>
      <c r="G70" s="22"/>
      <c r="H70" s="22"/>
      <c r="I70" s="22"/>
      <c r="J70" s="22"/>
      <c r="K70" s="22"/>
      <c r="L70" s="22"/>
      <c r="M70" s="22"/>
      <c r="N70" s="22"/>
      <c r="O70" s="22"/>
    </row>
    <row r="71" spans="1:15">
      <c r="A71" s="22"/>
      <c r="B71" s="22"/>
      <c r="C71" s="22"/>
      <c r="D71" s="22"/>
      <c r="E71" s="22"/>
      <c r="F71" s="22"/>
      <c r="G71" s="22"/>
      <c r="H71" s="22"/>
      <c r="I71" s="22"/>
      <c r="J71" s="22"/>
      <c r="K71" s="22"/>
      <c r="L71" s="22"/>
      <c r="M71" s="22"/>
      <c r="N71" s="22"/>
      <c r="O71" s="22"/>
    </row>
    <row r="72" spans="1:15">
      <c r="A72" s="22"/>
      <c r="B72" s="22"/>
      <c r="C72" s="22"/>
      <c r="D72" s="22"/>
      <c r="E72" s="22"/>
      <c r="F72" s="22"/>
      <c r="G72" s="22"/>
      <c r="H72" s="22"/>
      <c r="I72" s="22"/>
      <c r="J72" s="22"/>
      <c r="K72" s="22"/>
      <c r="L72" s="22"/>
      <c r="M72" s="22"/>
      <c r="N72" s="22"/>
      <c r="O72" s="22"/>
    </row>
    <row r="73" spans="1:15">
      <c r="A73" s="22"/>
      <c r="B73" s="22"/>
      <c r="C73" s="22"/>
      <c r="D73" s="22"/>
      <c r="E73" s="22"/>
      <c r="F73" s="22"/>
      <c r="G73" s="22"/>
      <c r="H73" s="22"/>
      <c r="I73" s="22"/>
      <c r="J73" s="22"/>
      <c r="K73" s="22"/>
      <c r="L73" s="22"/>
      <c r="M73" s="22"/>
      <c r="N73" s="22"/>
      <c r="O73" s="22"/>
    </row>
    <row r="74" spans="1:15">
      <c r="A74" s="22"/>
      <c r="B74" s="22"/>
      <c r="C74" s="22"/>
      <c r="D74" s="22"/>
      <c r="E74" s="22"/>
      <c r="F74" s="22"/>
      <c r="G74" s="22"/>
      <c r="H74" s="22"/>
      <c r="I74" s="22"/>
      <c r="J74" s="22"/>
      <c r="K74" s="22"/>
      <c r="L74" s="22"/>
      <c r="M74" s="22"/>
      <c r="N74" s="22"/>
      <c r="O74" s="22"/>
    </row>
    <row r="75" spans="1:15">
      <c r="A75" s="22"/>
      <c r="B75" s="22"/>
      <c r="C75" s="22"/>
      <c r="D75" s="22"/>
      <c r="E75" s="22"/>
      <c r="F75" s="22"/>
      <c r="G75" s="22"/>
      <c r="H75" s="22"/>
      <c r="I75" s="22"/>
      <c r="J75" s="22"/>
      <c r="K75" s="22"/>
      <c r="L75" s="22"/>
      <c r="M75" s="22"/>
      <c r="N75" s="22"/>
      <c r="O75" s="22"/>
    </row>
    <row r="76" spans="1:15">
      <c r="A76" s="22"/>
      <c r="B76" s="22"/>
      <c r="C76" s="22"/>
      <c r="D76" s="22"/>
      <c r="E76" s="22"/>
      <c r="F76" s="22"/>
      <c r="G76" s="22"/>
      <c r="H76" s="22"/>
      <c r="I76" s="22"/>
      <c r="J76" s="22"/>
      <c r="K76" s="22"/>
      <c r="L76" s="22"/>
      <c r="M76" s="22"/>
      <c r="N76" s="22"/>
      <c r="O76" s="22"/>
    </row>
    <row r="77" spans="1:15">
      <c r="A77" s="22"/>
      <c r="B77" s="22"/>
      <c r="C77" s="22"/>
      <c r="D77" s="22"/>
      <c r="E77" s="22"/>
      <c r="F77" s="22"/>
      <c r="G77" s="22"/>
      <c r="H77" s="22"/>
      <c r="I77" s="22"/>
      <c r="J77" s="22"/>
      <c r="K77" s="22"/>
      <c r="L77" s="22"/>
      <c r="M77" s="22"/>
      <c r="N77" s="22"/>
      <c r="O77" s="22"/>
    </row>
    <row r="78" spans="1:15">
      <c r="A78" s="22"/>
      <c r="B78" s="22"/>
      <c r="C78" s="22"/>
      <c r="D78" s="22"/>
      <c r="E78" s="22"/>
      <c r="F78" s="22"/>
      <c r="G78" s="22"/>
      <c r="H78" s="22"/>
      <c r="I78" s="22"/>
      <c r="J78" s="22"/>
      <c r="K78" s="22"/>
      <c r="L78" s="22"/>
      <c r="M78" s="22"/>
      <c r="N78" s="22"/>
      <c r="O78" s="22"/>
    </row>
    <row r="79" spans="1:15">
      <c r="A79" s="22"/>
      <c r="B79" s="22"/>
      <c r="C79" s="22"/>
      <c r="D79" s="22"/>
      <c r="E79" s="22"/>
      <c r="F79" s="22"/>
      <c r="G79" s="22"/>
      <c r="H79" s="22"/>
      <c r="I79" s="22"/>
      <c r="J79" s="22"/>
      <c r="K79" s="22"/>
      <c r="L79" s="22"/>
      <c r="M79" s="22"/>
      <c r="N79" s="22"/>
      <c r="O79" s="22"/>
    </row>
    <row r="80" spans="1:15">
      <c r="A80" s="22"/>
      <c r="B80" s="22"/>
      <c r="C80" s="22"/>
      <c r="D80" s="22"/>
      <c r="E80" s="22"/>
      <c r="F80" s="22"/>
      <c r="G80" s="22"/>
      <c r="H80" s="22"/>
      <c r="I80" s="22"/>
      <c r="J80" s="22"/>
      <c r="K80" s="22"/>
      <c r="L80" s="22"/>
      <c r="M80" s="22"/>
      <c r="N80" s="22"/>
      <c r="O80" s="22"/>
    </row>
    <row r="81" spans="1:15">
      <c r="A81" s="22"/>
      <c r="B81" s="22"/>
      <c r="C81" s="22"/>
      <c r="D81" s="22"/>
      <c r="E81" s="22"/>
      <c r="F81" s="22"/>
      <c r="G81" s="22"/>
      <c r="H81" s="22"/>
      <c r="I81" s="22"/>
      <c r="J81" s="22"/>
      <c r="K81" s="22"/>
      <c r="L81" s="22"/>
      <c r="M81" s="22"/>
      <c r="N81" s="22"/>
      <c r="O81" s="22"/>
    </row>
    <row r="82" spans="1:15">
      <c r="A82" s="22"/>
      <c r="B82" s="22"/>
      <c r="C82" s="22"/>
      <c r="D82" s="22"/>
      <c r="E82" s="22"/>
      <c r="F82" s="22"/>
      <c r="G82" s="22"/>
      <c r="H82" s="22"/>
      <c r="I82" s="22"/>
      <c r="J82" s="22"/>
      <c r="K82" s="22"/>
      <c r="L82" s="22"/>
      <c r="M82" s="22"/>
      <c r="N82" s="22"/>
      <c r="O82" s="22"/>
    </row>
    <row r="1048576" spans="16:16">
      <c r="P1048576"/>
    </row>
  </sheetData>
  <sheetProtection sheet="1" objects="1" scenarios="1" pivotTables="0"/>
  <mergeCells count="4">
    <mergeCell ref="L14:M14"/>
    <mergeCell ref="L15:M15"/>
    <mergeCell ref="L16:M17"/>
    <mergeCell ref="N16:N17"/>
  </mergeCells>
  <conditionalFormatting sqref="N16 L16">
    <cfRule type="expression" dxfId="48" priority="1">
      <formula>$N$16&lt;90%</formula>
    </cfRule>
  </conditionalFormatting>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GenerarTareasDiarias">
                <anchor moveWithCells="1" sizeWithCells="1">
                  <from>
                    <xdr:col>0</xdr:col>
                    <xdr:colOff>601980</xdr:colOff>
                    <xdr:row>1</xdr:row>
                    <xdr:rowOff>167640</xdr:rowOff>
                  </from>
                  <to>
                    <xdr:col>2</xdr:col>
                    <xdr:colOff>967740</xdr:colOff>
                    <xdr:row>4</xdr:row>
                    <xdr:rowOff>137160</xdr:rowOff>
                  </to>
                </anchor>
              </controlPr>
            </control>
          </mc:Choice>
        </mc:AlternateContent>
        <mc:AlternateContent xmlns:mc="http://schemas.openxmlformats.org/markup-compatibility/2006">
          <mc:Choice Requires="x14">
            <control shapeId="5134" r:id="rId7" name="Button 14">
              <controlPr defaultSize="0" print="0" autoFill="0" autoPict="0" macro="[0]!ShowTaskEditorForNewTask">
                <anchor moveWithCells="1" sizeWithCells="1">
                  <from>
                    <xdr:col>0</xdr:col>
                    <xdr:colOff>617220</xdr:colOff>
                    <xdr:row>7</xdr:row>
                    <xdr:rowOff>15240</xdr:rowOff>
                  </from>
                  <to>
                    <xdr:col>2</xdr:col>
                    <xdr:colOff>975360</xdr:colOff>
                    <xdr:row>9</xdr:row>
                    <xdr:rowOff>175260</xdr:rowOff>
                  </to>
                </anchor>
              </controlPr>
            </control>
          </mc:Choice>
        </mc:AlternateContent>
        <mc:AlternateContent xmlns:mc="http://schemas.openxmlformats.org/markup-compatibility/2006">
          <mc:Choice Requires="x14">
            <control shapeId="5135" r:id="rId8" name="Button 15">
              <controlPr defaultSize="0" print="0" autoFill="0" autoPict="0" macro="[0]!GenerarReporteDeCumplimiento">
                <anchor moveWithCells="1" sizeWithCells="1">
                  <from>
                    <xdr:col>1</xdr:col>
                    <xdr:colOff>15240</xdr:colOff>
                    <xdr:row>14</xdr:row>
                    <xdr:rowOff>0</xdr:rowOff>
                  </from>
                  <to>
                    <xdr:col>2</xdr:col>
                    <xdr:colOff>243840</xdr:colOff>
                    <xdr:row>16</xdr:row>
                    <xdr:rowOff>99060</xdr:rowOff>
                  </to>
                </anchor>
              </controlPr>
            </control>
          </mc:Choice>
        </mc:AlternateContent>
        <mc:AlternateContent xmlns:mc="http://schemas.openxmlformats.org/markup-compatibility/2006">
          <mc:Choice Requires="x14">
            <control shapeId="5136" r:id="rId9" name="Button 16">
              <controlPr defaultSize="0" print="0" autoFill="0" autoPict="0" macro="[0]!MostrarVistaAgente">
                <anchor moveWithCells="1" sizeWithCells="1">
                  <from>
                    <xdr:col>4</xdr:col>
                    <xdr:colOff>121920</xdr:colOff>
                    <xdr:row>13</xdr:row>
                    <xdr:rowOff>167640</xdr:rowOff>
                  </from>
                  <to>
                    <xdr:col>6</xdr:col>
                    <xdr:colOff>205740</xdr:colOff>
                    <xdr:row>16</xdr:row>
                    <xdr:rowOff>91440</xdr:rowOff>
                  </to>
                </anchor>
              </controlPr>
            </control>
          </mc:Choice>
        </mc:AlternateContent>
        <mc:AlternateContent xmlns:mc="http://schemas.openxmlformats.org/markup-compatibility/2006">
          <mc:Choice Requires="x14">
            <control shapeId="5167" r:id="rId10" name="Button 47">
              <controlPr defaultSize="0" print="0" autoFill="0" autoPict="0" macro="[0]!GenerarAnalisisDetallado">
                <anchor moveWithCells="1" sizeWithCells="1">
                  <from>
                    <xdr:col>3</xdr:col>
                    <xdr:colOff>205740</xdr:colOff>
                    <xdr:row>1</xdr:row>
                    <xdr:rowOff>160020</xdr:rowOff>
                  </from>
                  <to>
                    <xdr:col>6</xdr:col>
                    <xdr:colOff>190500</xdr:colOff>
                    <xdr:row>4</xdr:row>
                    <xdr:rowOff>144780</xdr:rowOff>
                  </to>
                </anchor>
              </controlPr>
            </control>
          </mc:Choice>
        </mc:AlternateContent>
        <mc:AlternateContent xmlns:mc="http://schemas.openxmlformats.org/markup-compatibility/2006">
          <mc:Choice Requires="x14">
            <control shapeId="5170" r:id="rId11" name="Button 50">
              <controlPr defaultSize="0" print="0" autoFill="0" autoPict="0" macro="[0]!MostrarVistaAuditor">
                <anchor moveWithCells="1" sizeWithCells="1">
                  <from>
                    <xdr:col>2</xdr:col>
                    <xdr:colOff>335280</xdr:colOff>
                    <xdr:row>13</xdr:row>
                    <xdr:rowOff>175260</xdr:rowOff>
                  </from>
                  <to>
                    <xdr:col>4</xdr:col>
                    <xdr:colOff>45720</xdr:colOff>
                    <xdr:row>16</xdr:row>
                    <xdr:rowOff>99060</xdr:rowOff>
                  </to>
                </anchor>
              </controlPr>
            </control>
          </mc:Choice>
        </mc:AlternateContent>
      </controls>
    </mc:Choice>
  </mc:AlternateContent>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A67B4-C32A-4E42-AF0B-958BEB53FE8D}">
  <sheetPr codeName="Sheet13"/>
  <dimension ref="A1:G285"/>
  <sheetViews>
    <sheetView workbookViewId="0"/>
  </sheetViews>
  <sheetFormatPr defaultRowHeight="14.45"/>
  <cols>
    <col min="1" max="1" width="12.7109375" customWidth="1"/>
    <col min="2" max="2" width="65.7109375" style="102" customWidth="1"/>
    <col min="3" max="4" width="15.7109375" customWidth="1"/>
    <col min="6" max="6" width="20.7109375" customWidth="1"/>
  </cols>
  <sheetData>
    <row r="1" spans="1:7">
      <c r="A1" s="104" t="s">
        <v>93</v>
      </c>
      <c r="B1" s="105" t="s">
        <v>94</v>
      </c>
      <c r="C1" s="104" t="s">
        <v>95</v>
      </c>
      <c r="D1" s="104" t="s">
        <v>96</v>
      </c>
    </row>
    <row r="2" spans="1:7" ht="100.9">
      <c r="A2" s="74" t="s">
        <v>97</v>
      </c>
      <c r="B2" s="75" t="s">
        <v>98</v>
      </c>
      <c r="C2" s="74" t="s">
        <v>99</v>
      </c>
      <c r="D2" s="74">
        <v>2</v>
      </c>
      <c r="F2" s="103" t="s">
        <v>100</v>
      </c>
      <c r="G2" s="103">
        <v>108</v>
      </c>
    </row>
    <row r="3" spans="1:7" ht="43.15">
      <c r="A3" s="74" t="s">
        <v>97</v>
      </c>
      <c r="B3" s="75" t="s">
        <v>101</v>
      </c>
      <c r="C3" s="74" t="s">
        <v>99</v>
      </c>
      <c r="D3" s="74">
        <v>2</v>
      </c>
      <c r="F3" s="103" t="s">
        <v>91</v>
      </c>
      <c r="G3" s="103">
        <v>118</v>
      </c>
    </row>
    <row r="4" spans="1:7" ht="57.6">
      <c r="A4" s="74" t="s">
        <v>97</v>
      </c>
      <c r="B4" s="75" t="s">
        <v>102</v>
      </c>
      <c r="C4" s="74" t="s">
        <v>99</v>
      </c>
      <c r="D4" s="74">
        <v>2</v>
      </c>
      <c r="F4" s="124" t="s">
        <v>103</v>
      </c>
      <c r="G4" s="125">
        <v>0.9152542372881356</v>
      </c>
    </row>
    <row r="5" spans="1:7" ht="86.45">
      <c r="A5" s="74" t="s">
        <v>104</v>
      </c>
      <c r="B5" s="75" t="s">
        <v>105</v>
      </c>
      <c r="C5" s="74" t="s">
        <v>99</v>
      </c>
      <c r="D5" s="74">
        <v>2</v>
      </c>
    </row>
    <row r="6" spans="1:7" ht="28.9">
      <c r="A6" s="74" t="s">
        <v>104</v>
      </c>
      <c r="B6" s="75" t="s">
        <v>106</v>
      </c>
      <c r="C6" s="74" t="s">
        <v>99</v>
      </c>
      <c r="D6" s="74">
        <v>2</v>
      </c>
    </row>
    <row r="7" spans="1:7" ht="86.45">
      <c r="A7" s="74" t="s">
        <v>104</v>
      </c>
      <c r="B7" s="75" t="s">
        <v>107</v>
      </c>
      <c r="C7" s="74" t="s">
        <v>99</v>
      </c>
      <c r="D7" s="74">
        <v>2</v>
      </c>
    </row>
    <row r="8" spans="1:7" ht="57.6">
      <c r="A8" s="74" t="s">
        <v>104</v>
      </c>
      <c r="B8" s="75" t="s">
        <v>108</v>
      </c>
      <c r="C8" s="74" t="s">
        <v>99</v>
      </c>
      <c r="D8" s="74">
        <v>2</v>
      </c>
    </row>
    <row r="9" spans="1:7" ht="57.6">
      <c r="A9" s="74" t="s">
        <v>104</v>
      </c>
      <c r="B9" s="75" t="s">
        <v>109</v>
      </c>
      <c r="C9" s="74" t="s">
        <v>99</v>
      </c>
      <c r="D9" s="74">
        <v>2</v>
      </c>
    </row>
    <row r="10" spans="1:7" ht="100.9">
      <c r="A10" s="74" t="s">
        <v>110</v>
      </c>
      <c r="B10" s="75" t="s">
        <v>111</v>
      </c>
      <c r="C10" s="74" t="s">
        <v>99</v>
      </c>
      <c r="D10" s="74">
        <v>2</v>
      </c>
    </row>
    <row r="11" spans="1:7" ht="100.9">
      <c r="A11" s="74" t="s">
        <v>110</v>
      </c>
      <c r="B11" s="75" t="s">
        <v>112</v>
      </c>
      <c r="C11" s="74" t="s">
        <v>99</v>
      </c>
      <c r="D11" s="74">
        <v>2</v>
      </c>
    </row>
    <row r="12" spans="1:7" ht="57.6">
      <c r="A12" s="74" t="s">
        <v>110</v>
      </c>
      <c r="B12" s="75" t="s">
        <v>113</v>
      </c>
      <c r="C12" s="74" t="s">
        <v>114</v>
      </c>
      <c r="D12" s="74">
        <v>1</v>
      </c>
    </row>
    <row r="13" spans="1:7" ht="43.15">
      <c r="A13" s="74" t="s">
        <v>110</v>
      </c>
      <c r="B13" s="75" t="s">
        <v>115</v>
      </c>
      <c r="C13" s="74" t="s">
        <v>114</v>
      </c>
      <c r="D13" s="74">
        <v>1</v>
      </c>
    </row>
    <row r="14" spans="1:7" ht="100.9">
      <c r="A14" s="74" t="s">
        <v>116</v>
      </c>
      <c r="B14" s="75" t="s">
        <v>117</v>
      </c>
      <c r="C14" s="74" t="s">
        <v>99</v>
      </c>
      <c r="D14" s="74">
        <v>2</v>
      </c>
    </row>
    <row r="15" spans="1:7" ht="57.6">
      <c r="A15" s="74" t="s">
        <v>116</v>
      </c>
      <c r="B15" s="75" t="s">
        <v>118</v>
      </c>
      <c r="C15" s="74" t="s">
        <v>99</v>
      </c>
      <c r="D15" s="74">
        <v>2</v>
      </c>
    </row>
    <row r="16" spans="1:7" ht="43.15">
      <c r="A16" s="74" t="s">
        <v>116</v>
      </c>
      <c r="B16" s="75" t="s">
        <v>119</v>
      </c>
      <c r="C16" s="74" t="s">
        <v>99</v>
      </c>
      <c r="D16" s="74">
        <v>2</v>
      </c>
    </row>
    <row r="17" spans="1:4" ht="72">
      <c r="A17" s="74" t="s">
        <v>116</v>
      </c>
      <c r="B17" s="75" t="s">
        <v>120</v>
      </c>
      <c r="C17" s="74" t="s">
        <v>99</v>
      </c>
      <c r="D17" s="74">
        <v>2</v>
      </c>
    </row>
    <row r="18" spans="1:4" ht="86.45">
      <c r="A18" s="74" t="s">
        <v>116</v>
      </c>
      <c r="B18" s="75" t="s">
        <v>121</v>
      </c>
      <c r="C18" s="74" t="s">
        <v>99</v>
      </c>
      <c r="D18" s="74">
        <v>2</v>
      </c>
    </row>
    <row r="19" spans="1:4" ht="57.6">
      <c r="A19" s="74" t="s">
        <v>122</v>
      </c>
      <c r="B19" s="75" t="s">
        <v>123</v>
      </c>
      <c r="C19" s="74" t="s">
        <v>114</v>
      </c>
      <c r="D19" s="74">
        <v>1</v>
      </c>
    </row>
    <row r="20" spans="1:4" ht="57.6">
      <c r="A20" s="74" t="s">
        <v>122</v>
      </c>
      <c r="B20" s="75" t="s">
        <v>124</v>
      </c>
      <c r="C20" s="74" t="s">
        <v>114</v>
      </c>
      <c r="D20" s="74">
        <v>1</v>
      </c>
    </row>
    <row r="21" spans="1:4" ht="43.15">
      <c r="A21" s="74" t="s">
        <v>122</v>
      </c>
      <c r="B21" s="75" t="s">
        <v>125</v>
      </c>
      <c r="C21" s="74" t="s">
        <v>99</v>
      </c>
      <c r="D21" s="74">
        <v>2</v>
      </c>
    </row>
    <row r="22" spans="1:4" ht="57.6">
      <c r="A22" s="74" t="s">
        <v>122</v>
      </c>
      <c r="B22" s="75" t="s">
        <v>126</v>
      </c>
      <c r="C22" s="74" t="s">
        <v>99</v>
      </c>
      <c r="D22" s="74">
        <v>2</v>
      </c>
    </row>
    <row r="23" spans="1:4" ht="57.6">
      <c r="A23" s="74" t="s">
        <v>122</v>
      </c>
      <c r="B23" s="75" t="s">
        <v>127</v>
      </c>
      <c r="C23" s="74" t="s">
        <v>114</v>
      </c>
      <c r="D23" s="74">
        <v>1</v>
      </c>
    </row>
    <row r="24" spans="1:4" ht="57.6">
      <c r="A24" s="74" t="s">
        <v>122</v>
      </c>
      <c r="B24" s="75" t="s">
        <v>128</v>
      </c>
      <c r="C24" s="74" t="s">
        <v>114</v>
      </c>
      <c r="D24" s="74">
        <v>1</v>
      </c>
    </row>
    <row r="25" spans="1:4" ht="57.6">
      <c r="A25" s="74" t="s">
        <v>122</v>
      </c>
      <c r="B25" s="75" t="s">
        <v>129</v>
      </c>
      <c r="C25" s="74" t="s">
        <v>99</v>
      </c>
      <c r="D25" s="74">
        <v>2</v>
      </c>
    </row>
    <row r="26" spans="1:4" ht="86.45">
      <c r="A26" s="74" t="s">
        <v>130</v>
      </c>
      <c r="B26" s="75" t="s">
        <v>131</v>
      </c>
      <c r="C26" s="74" t="s">
        <v>99</v>
      </c>
      <c r="D26" s="74">
        <v>2</v>
      </c>
    </row>
    <row r="27" spans="1:4" ht="57.6">
      <c r="A27" s="74" t="s">
        <v>130</v>
      </c>
      <c r="B27" s="75" t="s">
        <v>132</v>
      </c>
      <c r="C27" s="74" t="s">
        <v>99</v>
      </c>
      <c r="D27" s="74">
        <v>2</v>
      </c>
    </row>
    <row r="28" spans="1:4" ht="43.15">
      <c r="A28" s="74" t="s">
        <v>130</v>
      </c>
      <c r="B28" s="75" t="s">
        <v>133</v>
      </c>
      <c r="C28" s="74" t="s">
        <v>99</v>
      </c>
      <c r="D28" s="74">
        <v>2</v>
      </c>
    </row>
    <row r="29" spans="1:4" ht="72">
      <c r="A29" s="74" t="s">
        <v>130</v>
      </c>
      <c r="B29" s="75" t="s">
        <v>134</v>
      </c>
      <c r="C29" s="74" t="s">
        <v>99</v>
      </c>
      <c r="D29" s="74">
        <v>2</v>
      </c>
    </row>
    <row r="30" spans="1:4" ht="86.45">
      <c r="A30" s="74" t="s">
        <v>130</v>
      </c>
      <c r="B30" s="75" t="s">
        <v>135</v>
      </c>
      <c r="C30" s="74" t="s">
        <v>99</v>
      </c>
      <c r="D30" s="74">
        <v>2</v>
      </c>
    </row>
    <row r="31" spans="1:4" ht="57.6">
      <c r="A31" s="74" t="s">
        <v>136</v>
      </c>
      <c r="B31" s="75" t="s">
        <v>137</v>
      </c>
      <c r="C31" s="74" t="s">
        <v>99</v>
      </c>
      <c r="D31" s="74">
        <v>2</v>
      </c>
    </row>
    <row r="32" spans="1:4" ht="57.6">
      <c r="A32" s="74" t="s">
        <v>136</v>
      </c>
      <c r="B32" s="75" t="s">
        <v>138</v>
      </c>
      <c r="C32" s="74" t="s">
        <v>99</v>
      </c>
      <c r="D32" s="74">
        <v>2</v>
      </c>
    </row>
    <row r="33" spans="1:4" ht="43.15">
      <c r="A33" s="74" t="s">
        <v>136</v>
      </c>
      <c r="B33" s="75" t="s">
        <v>139</v>
      </c>
      <c r="C33" s="74" t="s">
        <v>99</v>
      </c>
      <c r="D33" s="74">
        <v>2</v>
      </c>
    </row>
    <row r="34" spans="1:4" ht="57.6">
      <c r="A34" s="74" t="s">
        <v>136</v>
      </c>
      <c r="B34" s="75" t="s">
        <v>140</v>
      </c>
      <c r="C34" s="74" t="s">
        <v>99</v>
      </c>
      <c r="D34" s="74">
        <v>2</v>
      </c>
    </row>
    <row r="35" spans="1:4" ht="57.6">
      <c r="A35" s="74" t="s">
        <v>136</v>
      </c>
      <c r="B35" s="75" t="s">
        <v>127</v>
      </c>
      <c r="C35" s="74" t="s">
        <v>99</v>
      </c>
      <c r="D35" s="74">
        <v>2</v>
      </c>
    </row>
    <row r="36" spans="1:4" ht="57.6">
      <c r="A36" s="74" t="s">
        <v>136</v>
      </c>
      <c r="B36" s="75" t="s">
        <v>128</v>
      </c>
      <c r="C36" s="74" t="s">
        <v>99</v>
      </c>
      <c r="D36" s="74">
        <v>2</v>
      </c>
    </row>
    <row r="37" spans="1:4" ht="57.6">
      <c r="A37" s="74" t="s">
        <v>136</v>
      </c>
      <c r="B37" s="75" t="s">
        <v>141</v>
      </c>
      <c r="C37" s="74" t="s">
        <v>99</v>
      </c>
      <c r="D37" s="74">
        <v>2</v>
      </c>
    </row>
    <row r="38" spans="1:4" ht="57.6">
      <c r="A38" s="74" t="s">
        <v>142</v>
      </c>
      <c r="B38" s="75" t="s">
        <v>143</v>
      </c>
      <c r="C38" s="74" t="s">
        <v>114</v>
      </c>
      <c r="D38" s="74">
        <v>1</v>
      </c>
    </row>
    <row r="39" spans="1:4" ht="57.6">
      <c r="A39" s="74" t="s">
        <v>142</v>
      </c>
      <c r="B39" s="75" t="s">
        <v>144</v>
      </c>
      <c r="C39" s="74" t="s">
        <v>114</v>
      </c>
      <c r="D39" s="74">
        <v>1</v>
      </c>
    </row>
    <row r="40" spans="1:4" ht="57.6">
      <c r="A40" s="74" t="s">
        <v>142</v>
      </c>
      <c r="B40" s="75" t="s">
        <v>145</v>
      </c>
      <c r="C40" s="74" t="s">
        <v>114</v>
      </c>
      <c r="D40" s="74">
        <v>1</v>
      </c>
    </row>
    <row r="41" spans="1:4" ht="57.6">
      <c r="A41" s="74" t="s">
        <v>142</v>
      </c>
      <c r="B41" s="75" t="s">
        <v>146</v>
      </c>
      <c r="C41" s="74" t="s">
        <v>99</v>
      </c>
      <c r="D41" s="74">
        <v>2</v>
      </c>
    </row>
    <row r="42" spans="1:4" ht="57.6">
      <c r="A42" s="74" t="s">
        <v>142</v>
      </c>
      <c r="B42" s="75" t="s">
        <v>147</v>
      </c>
      <c r="C42" s="74" t="s">
        <v>99</v>
      </c>
      <c r="D42" s="74">
        <v>2</v>
      </c>
    </row>
    <row r="43" spans="1:4" ht="57.6">
      <c r="A43" s="74" t="s">
        <v>142</v>
      </c>
      <c r="B43" s="75" t="s">
        <v>148</v>
      </c>
      <c r="C43" s="74" t="s">
        <v>114</v>
      </c>
      <c r="D43" s="74">
        <v>1</v>
      </c>
    </row>
    <row r="44" spans="1:4" ht="72">
      <c r="A44" s="74" t="s">
        <v>149</v>
      </c>
      <c r="B44" s="75" t="s">
        <v>150</v>
      </c>
      <c r="C44" s="74" t="s">
        <v>99</v>
      </c>
      <c r="D44" s="74">
        <v>2</v>
      </c>
    </row>
    <row r="45" spans="1:4" ht="57.6">
      <c r="A45" s="74" t="s">
        <v>149</v>
      </c>
      <c r="B45" s="75" t="s">
        <v>151</v>
      </c>
      <c r="C45" s="74" t="s">
        <v>99</v>
      </c>
      <c r="D45" s="74">
        <v>2</v>
      </c>
    </row>
    <row r="46" spans="1:4" ht="57.6">
      <c r="A46" s="74" t="s">
        <v>149</v>
      </c>
      <c r="B46" s="75" t="s">
        <v>152</v>
      </c>
      <c r="C46" s="74" t="s">
        <v>99</v>
      </c>
      <c r="D46" s="74">
        <v>2</v>
      </c>
    </row>
    <row r="47" spans="1:4" ht="57.6">
      <c r="A47" s="74" t="s">
        <v>149</v>
      </c>
      <c r="B47" s="75" t="s">
        <v>153</v>
      </c>
      <c r="C47" s="74" t="s">
        <v>99</v>
      </c>
      <c r="D47" s="74">
        <v>2</v>
      </c>
    </row>
    <row r="48" spans="1:4" ht="57.6">
      <c r="A48" s="74" t="s">
        <v>149</v>
      </c>
      <c r="B48" s="75" t="s">
        <v>154</v>
      </c>
      <c r="C48" s="74" t="s">
        <v>99</v>
      </c>
      <c r="D48" s="74">
        <v>2</v>
      </c>
    </row>
    <row r="49" spans="1:4" ht="57.6">
      <c r="A49" s="74" t="s">
        <v>149</v>
      </c>
      <c r="B49" s="75" t="s">
        <v>155</v>
      </c>
      <c r="C49" s="74" t="s">
        <v>114</v>
      </c>
      <c r="D49" s="74">
        <v>1</v>
      </c>
    </row>
    <row r="50" spans="1:4" ht="57.6">
      <c r="A50" s="74" t="s">
        <v>149</v>
      </c>
      <c r="B50" s="75" t="s">
        <v>156</v>
      </c>
      <c r="C50" s="74" t="s">
        <v>99</v>
      </c>
      <c r="D50" s="74">
        <v>2</v>
      </c>
    </row>
    <row r="51" spans="1:4" ht="57.6">
      <c r="A51" s="74" t="s">
        <v>149</v>
      </c>
      <c r="B51" s="75" t="s">
        <v>157</v>
      </c>
      <c r="C51" s="74" t="s">
        <v>99</v>
      </c>
      <c r="D51" s="74">
        <v>2</v>
      </c>
    </row>
    <row r="52" spans="1:4" ht="57.6">
      <c r="A52" s="74" t="s">
        <v>149</v>
      </c>
      <c r="B52" s="75" t="s">
        <v>158</v>
      </c>
      <c r="C52" s="74" t="s">
        <v>99</v>
      </c>
      <c r="D52" s="74">
        <v>2</v>
      </c>
    </row>
    <row r="53" spans="1:4" ht="187.15">
      <c r="A53" s="74" t="s">
        <v>159</v>
      </c>
      <c r="B53" s="75" t="s">
        <v>160</v>
      </c>
      <c r="C53" s="74" t="s">
        <v>99</v>
      </c>
      <c r="D53" s="74">
        <v>2</v>
      </c>
    </row>
    <row r="54" spans="1:4" ht="115.15">
      <c r="A54" s="74" t="s">
        <v>159</v>
      </c>
      <c r="B54" s="75" t="s">
        <v>161</v>
      </c>
      <c r="C54" s="74" t="s">
        <v>99</v>
      </c>
      <c r="D54" s="74">
        <v>2</v>
      </c>
    </row>
    <row r="55" spans="1:4" ht="57.6">
      <c r="A55" s="74" t="s">
        <v>162</v>
      </c>
      <c r="B55" s="75" t="s">
        <v>163</v>
      </c>
      <c r="C55" s="74" t="s">
        <v>99</v>
      </c>
      <c r="D55" s="74">
        <v>2</v>
      </c>
    </row>
    <row r="56" spans="1:4" ht="43.15">
      <c r="A56" s="74" t="s">
        <v>162</v>
      </c>
      <c r="B56" s="75" t="s">
        <v>164</v>
      </c>
      <c r="C56" s="74" t="s">
        <v>114</v>
      </c>
      <c r="D56" s="74">
        <v>1</v>
      </c>
    </row>
    <row r="57" spans="1:4" ht="43.15">
      <c r="A57" s="74" t="s">
        <v>162</v>
      </c>
      <c r="B57" s="75" t="s">
        <v>165</v>
      </c>
      <c r="C57" s="74" t="s">
        <v>99</v>
      </c>
      <c r="D57" s="74">
        <v>2</v>
      </c>
    </row>
    <row r="58" spans="1:4" ht="43.15">
      <c r="A58" s="74" t="s">
        <v>162</v>
      </c>
      <c r="B58" s="75" t="s">
        <v>166</v>
      </c>
      <c r="C58" s="74" t="s">
        <v>99</v>
      </c>
      <c r="D58" s="74">
        <v>2</v>
      </c>
    </row>
    <row r="59" spans="1:4" ht="100.9">
      <c r="A59" s="74" t="s">
        <v>167</v>
      </c>
      <c r="B59" s="75" t="s">
        <v>168</v>
      </c>
      <c r="C59" s="74" t="s">
        <v>99</v>
      </c>
      <c r="D59" s="74">
        <v>2</v>
      </c>
    </row>
    <row r="60" spans="1:4" ht="86.45">
      <c r="A60" s="74" t="s">
        <v>167</v>
      </c>
      <c r="B60" s="75" t="s">
        <v>169</v>
      </c>
      <c r="C60" s="74" t="s">
        <v>99</v>
      </c>
      <c r="D60" s="74">
        <v>2</v>
      </c>
    </row>
    <row r="61" spans="1:4" ht="43.15">
      <c r="A61" s="74" t="s">
        <v>167</v>
      </c>
      <c r="B61" s="75" t="s">
        <v>170</v>
      </c>
      <c r="C61" s="74" t="s">
        <v>114</v>
      </c>
      <c r="D61" s="74">
        <v>1</v>
      </c>
    </row>
    <row r="62" spans="1:4" ht="28.9">
      <c r="A62" s="74" t="s">
        <v>167</v>
      </c>
      <c r="B62" s="75" t="s">
        <v>171</v>
      </c>
      <c r="C62" s="74" t="s">
        <v>99</v>
      </c>
      <c r="D62" s="74">
        <v>2</v>
      </c>
    </row>
    <row r="63" spans="1:4" ht="86.45">
      <c r="A63" s="74" t="s">
        <v>172</v>
      </c>
      <c r="B63" s="75" t="s">
        <v>173</v>
      </c>
      <c r="C63" s="74" t="s">
        <v>99</v>
      </c>
      <c r="D63" s="74">
        <v>2</v>
      </c>
    </row>
    <row r="64" spans="1:4" ht="100.9">
      <c r="A64" s="74" t="s">
        <v>172</v>
      </c>
      <c r="B64" s="75" t="s">
        <v>174</v>
      </c>
      <c r="C64" s="74" t="s">
        <v>99</v>
      </c>
      <c r="D64" s="74">
        <v>2</v>
      </c>
    </row>
    <row r="65" spans="1:4" ht="57.6">
      <c r="A65" s="74" t="s">
        <v>172</v>
      </c>
      <c r="B65" s="75" t="s">
        <v>175</v>
      </c>
      <c r="C65" s="74" t="s">
        <v>99</v>
      </c>
      <c r="D65" s="74">
        <v>2</v>
      </c>
    </row>
    <row r="66" spans="1:4" ht="57.6">
      <c r="A66" s="74" t="s">
        <v>176</v>
      </c>
      <c r="B66" s="75" t="s">
        <v>177</v>
      </c>
      <c r="C66" s="74" t="s">
        <v>99</v>
      </c>
      <c r="D66" s="74">
        <v>2</v>
      </c>
    </row>
    <row r="67" spans="1:4" ht="100.9">
      <c r="A67" s="74" t="s">
        <v>176</v>
      </c>
      <c r="B67" s="75" t="s">
        <v>178</v>
      </c>
      <c r="C67" s="74" t="s">
        <v>99</v>
      </c>
      <c r="D67" s="74">
        <v>2</v>
      </c>
    </row>
    <row r="68" spans="1:4" ht="57.6">
      <c r="A68" s="74" t="s">
        <v>179</v>
      </c>
      <c r="B68" s="75" t="s">
        <v>180</v>
      </c>
      <c r="C68" s="74" t="s">
        <v>99</v>
      </c>
      <c r="D68" s="74">
        <v>2</v>
      </c>
    </row>
    <row r="69" spans="1:4" ht="43.15">
      <c r="A69" s="74" t="s">
        <v>179</v>
      </c>
      <c r="B69" s="75" t="s">
        <v>181</v>
      </c>
      <c r="C69" s="74" t="s">
        <v>99</v>
      </c>
      <c r="D69" s="74">
        <v>2</v>
      </c>
    </row>
    <row r="70" spans="1:4" ht="43.15">
      <c r="A70" s="74" t="s">
        <v>179</v>
      </c>
      <c r="B70" s="75" t="s">
        <v>182</v>
      </c>
      <c r="C70" s="74" t="s">
        <v>99</v>
      </c>
      <c r="D70" s="74">
        <v>2</v>
      </c>
    </row>
    <row r="71" spans="1:4" ht="43.15">
      <c r="A71" s="74" t="s">
        <v>183</v>
      </c>
      <c r="B71" s="75" t="s">
        <v>184</v>
      </c>
      <c r="C71" s="74" t="s">
        <v>99</v>
      </c>
      <c r="D71" s="74">
        <v>2</v>
      </c>
    </row>
    <row r="72" spans="1:4" ht="86.45">
      <c r="A72" s="74" t="s">
        <v>183</v>
      </c>
      <c r="B72" s="75" t="s">
        <v>185</v>
      </c>
      <c r="C72" s="74" t="s">
        <v>99</v>
      </c>
      <c r="D72" s="74">
        <v>2</v>
      </c>
    </row>
    <row r="73" spans="1:4" ht="43.15">
      <c r="A73" s="74" t="s">
        <v>183</v>
      </c>
      <c r="B73" s="75" t="s">
        <v>186</v>
      </c>
      <c r="C73" s="74" t="s">
        <v>99</v>
      </c>
      <c r="D73" s="74">
        <v>2</v>
      </c>
    </row>
    <row r="74" spans="1:4" ht="43.15">
      <c r="A74" s="74" t="s">
        <v>187</v>
      </c>
      <c r="B74" s="75" t="s">
        <v>188</v>
      </c>
      <c r="C74" s="74" t="s">
        <v>99</v>
      </c>
      <c r="D74" s="74">
        <v>2</v>
      </c>
    </row>
    <row r="75" spans="1:4" ht="43.15">
      <c r="A75" s="74" t="s">
        <v>187</v>
      </c>
      <c r="B75" s="75" t="s">
        <v>189</v>
      </c>
      <c r="C75" s="74" t="s">
        <v>99</v>
      </c>
      <c r="D75" s="74">
        <v>2</v>
      </c>
    </row>
    <row r="76" spans="1:4" ht="43.15">
      <c r="A76" s="74" t="s">
        <v>187</v>
      </c>
      <c r="B76" s="75" t="s">
        <v>190</v>
      </c>
      <c r="C76" s="74" t="s">
        <v>99</v>
      </c>
      <c r="D76" s="74">
        <v>2</v>
      </c>
    </row>
    <row r="77" spans="1:4" ht="43.15">
      <c r="A77" s="74" t="s">
        <v>191</v>
      </c>
      <c r="B77" s="75" t="s">
        <v>192</v>
      </c>
      <c r="C77" s="74" t="s">
        <v>99</v>
      </c>
      <c r="D77" s="74">
        <v>2</v>
      </c>
    </row>
    <row r="78" spans="1:4" ht="57.6">
      <c r="A78" s="74" t="s">
        <v>191</v>
      </c>
      <c r="B78" s="75" t="s">
        <v>193</v>
      </c>
      <c r="C78" s="74" t="s">
        <v>99</v>
      </c>
      <c r="D78" s="74">
        <v>2</v>
      </c>
    </row>
    <row r="79" spans="1:4" ht="72">
      <c r="A79" s="74" t="s">
        <v>191</v>
      </c>
      <c r="B79" s="75" t="s">
        <v>194</v>
      </c>
      <c r="C79" s="74" t="s">
        <v>99</v>
      </c>
      <c r="D79" s="74">
        <v>2</v>
      </c>
    </row>
    <row r="80" spans="1:4" ht="86.45">
      <c r="A80" s="74" t="s">
        <v>195</v>
      </c>
      <c r="B80" s="75" t="s">
        <v>196</v>
      </c>
      <c r="C80" s="74" t="s">
        <v>99</v>
      </c>
      <c r="D80" s="74">
        <v>2</v>
      </c>
    </row>
    <row r="81" spans="1:4" ht="43.15">
      <c r="A81" s="74" t="s">
        <v>195</v>
      </c>
      <c r="B81" s="75" t="s">
        <v>197</v>
      </c>
      <c r="C81" s="74" t="s">
        <v>99</v>
      </c>
      <c r="D81" s="74">
        <v>2</v>
      </c>
    </row>
    <row r="82" spans="1:4" ht="28.9">
      <c r="A82" s="74" t="s">
        <v>195</v>
      </c>
      <c r="B82" s="75" t="s">
        <v>198</v>
      </c>
      <c r="C82" s="74" t="s">
        <v>99</v>
      </c>
      <c r="D82" s="74">
        <v>2</v>
      </c>
    </row>
    <row r="83" spans="1:4" ht="43.15">
      <c r="A83" s="74" t="s">
        <v>199</v>
      </c>
      <c r="B83" s="75" t="s">
        <v>200</v>
      </c>
      <c r="C83" s="74" t="s">
        <v>99</v>
      </c>
      <c r="D83" s="74">
        <v>2</v>
      </c>
    </row>
    <row r="84" spans="1:4" ht="57.6">
      <c r="A84" s="74" t="s">
        <v>199</v>
      </c>
      <c r="B84" s="75" t="s">
        <v>201</v>
      </c>
      <c r="C84" s="74" t="s">
        <v>99</v>
      </c>
      <c r="D84" s="74">
        <v>2</v>
      </c>
    </row>
    <row r="85" spans="1:4" ht="43.15">
      <c r="A85" s="74" t="s">
        <v>199</v>
      </c>
      <c r="B85" s="75" t="s">
        <v>202</v>
      </c>
      <c r="C85" s="74" t="s">
        <v>99</v>
      </c>
      <c r="D85" s="74">
        <v>2</v>
      </c>
    </row>
    <row r="86" spans="1:4" ht="43.15">
      <c r="A86" s="74" t="s">
        <v>199</v>
      </c>
      <c r="B86" s="75" t="s">
        <v>203</v>
      </c>
      <c r="C86" s="74" t="s">
        <v>99</v>
      </c>
      <c r="D86" s="74">
        <v>2</v>
      </c>
    </row>
    <row r="87" spans="1:4" ht="43.15">
      <c r="A87" s="74" t="s">
        <v>199</v>
      </c>
      <c r="B87" s="75" t="s">
        <v>204</v>
      </c>
      <c r="C87" s="74" t="s">
        <v>99</v>
      </c>
      <c r="D87" s="74">
        <v>2</v>
      </c>
    </row>
    <row r="88" spans="1:4" ht="57.6">
      <c r="A88" s="74" t="s">
        <v>205</v>
      </c>
      <c r="B88" s="75" t="s">
        <v>206</v>
      </c>
      <c r="C88" s="74" t="s">
        <v>99</v>
      </c>
      <c r="D88" s="74">
        <v>2</v>
      </c>
    </row>
    <row r="89" spans="1:4" ht="57.6">
      <c r="A89" s="74" t="s">
        <v>205</v>
      </c>
      <c r="B89" s="75" t="s">
        <v>207</v>
      </c>
      <c r="C89" s="74" t="s">
        <v>99</v>
      </c>
      <c r="D89" s="74">
        <v>2</v>
      </c>
    </row>
    <row r="90" spans="1:4" ht="43.15">
      <c r="A90" s="74" t="s">
        <v>205</v>
      </c>
      <c r="B90" s="75" t="s">
        <v>208</v>
      </c>
      <c r="C90" s="74" t="s">
        <v>99</v>
      </c>
      <c r="D90" s="74">
        <v>2</v>
      </c>
    </row>
    <row r="91" spans="1:4" ht="72">
      <c r="A91" s="74" t="s">
        <v>209</v>
      </c>
      <c r="B91" s="75" t="s">
        <v>210</v>
      </c>
      <c r="C91" s="74" t="s">
        <v>99</v>
      </c>
      <c r="D91" s="74">
        <v>2</v>
      </c>
    </row>
    <row r="92" spans="1:4" ht="43.15">
      <c r="A92" s="74" t="s">
        <v>209</v>
      </c>
      <c r="B92" s="75" t="s">
        <v>211</v>
      </c>
      <c r="C92" s="74" t="s">
        <v>99</v>
      </c>
      <c r="D92" s="74">
        <v>2</v>
      </c>
    </row>
    <row r="93" spans="1:4" ht="43.15">
      <c r="A93" s="74" t="s">
        <v>209</v>
      </c>
      <c r="B93" s="75" t="s">
        <v>212</v>
      </c>
      <c r="C93" s="74" t="s">
        <v>99</v>
      </c>
      <c r="D93" s="74">
        <v>2</v>
      </c>
    </row>
    <row r="94" spans="1:4" ht="43.15">
      <c r="A94" s="74" t="s">
        <v>209</v>
      </c>
      <c r="B94" s="75" t="s">
        <v>213</v>
      </c>
      <c r="C94" s="74" t="s">
        <v>99</v>
      </c>
      <c r="D94" s="74">
        <v>2</v>
      </c>
    </row>
    <row r="95" spans="1:4" ht="57.6">
      <c r="A95" s="106" t="s">
        <v>214</v>
      </c>
      <c r="B95" s="107" t="s">
        <v>215</v>
      </c>
      <c r="C95" s="106" t="s">
        <v>99</v>
      </c>
      <c r="D95" s="106">
        <v>2</v>
      </c>
    </row>
    <row r="96" spans="1:4" ht="43.15">
      <c r="A96" s="106" t="s">
        <v>214</v>
      </c>
      <c r="B96" s="107" t="s">
        <v>216</v>
      </c>
      <c r="C96" s="106" t="s">
        <v>99</v>
      </c>
      <c r="D96" s="106">
        <v>2</v>
      </c>
    </row>
    <row r="97" spans="1:4" ht="43.15">
      <c r="A97" s="106" t="s">
        <v>214</v>
      </c>
      <c r="B97" s="107" t="s">
        <v>217</v>
      </c>
      <c r="C97" s="106" t="s">
        <v>99</v>
      </c>
      <c r="D97" s="106">
        <v>2</v>
      </c>
    </row>
    <row r="98" spans="1:4" ht="28.9">
      <c r="A98" s="106" t="s">
        <v>214</v>
      </c>
      <c r="B98" s="107" t="s">
        <v>218</v>
      </c>
      <c r="C98" s="106" t="s">
        <v>99</v>
      </c>
      <c r="D98" s="106">
        <v>2</v>
      </c>
    </row>
    <row r="99" spans="1:4" ht="43.15">
      <c r="A99" s="106" t="s">
        <v>214</v>
      </c>
      <c r="B99" s="107" t="s">
        <v>219</v>
      </c>
      <c r="C99" s="106" t="s">
        <v>99</v>
      </c>
      <c r="D99" s="106">
        <v>2</v>
      </c>
    </row>
    <row r="100" spans="1:4" ht="57.6">
      <c r="A100" s="106" t="s">
        <v>220</v>
      </c>
      <c r="B100" s="107" t="s">
        <v>221</v>
      </c>
      <c r="C100" s="106" t="s">
        <v>99</v>
      </c>
      <c r="D100" s="106">
        <v>2</v>
      </c>
    </row>
    <row r="101" spans="1:4" ht="57.6">
      <c r="A101" s="106" t="s">
        <v>220</v>
      </c>
      <c r="B101" s="107" t="s">
        <v>222</v>
      </c>
      <c r="C101" s="106" t="s">
        <v>99</v>
      </c>
      <c r="D101" s="106">
        <v>2</v>
      </c>
    </row>
    <row r="102" spans="1:4" ht="115.15">
      <c r="A102" s="106" t="s">
        <v>220</v>
      </c>
      <c r="B102" s="107" t="s">
        <v>223</v>
      </c>
      <c r="C102" s="106" t="s">
        <v>99</v>
      </c>
      <c r="D102" s="106">
        <v>2</v>
      </c>
    </row>
    <row r="103" spans="1:4" ht="86.45">
      <c r="A103" s="106" t="s">
        <v>224</v>
      </c>
      <c r="B103" s="107" t="s">
        <v>225</v>
      </c>
      <c r="C103" s="106" t="s">
        <v>99</v>
      </c>
      <c r="D103" s="106">
        <v>2</v>
      </c>
    </row>
    <row r="104" spans="1:4" ht="57.6">
      <c r="A104" s="106" t="s">
        <v>224</v>
      </c>
      <c r="B104" s="107" t="s">
        <v>226</v>
      </c>
      <c r="C104" s="106" t="s">
        <v>99</v>
      </c>
      <c r="D104" s="106">
        <v>2</v>
      </c>
    </row>
    <row r="105" spans="1:4" ht="43.15">
      <c r="A105" s="106" t="s">
        <v>224</v>
      </c>
      <c r="B105" s="107" t="s">
        <v>227</v>
      </c>
      <c r="C105" s="106" t="s">
        <v>99</v>
      </c>
      <c r="D105" s="106">
        <v>2</v>
      </c>
    </row>
    <row r="106" spans="1:4" ht="57.6">
      <c r="A106" s="106" t="s">
        <v>224</v>
      </c>
      <c r="B106" s="107" t="s">
        <v>228</v>
      </c>
      <c r="C106" s="106" t="s">
        <v>99</v>
      </c>
      <c r="D106" s="106">
        <v>2</v>
      </c>
    </row>
    <row r="107" spans="1:4" ht="43.15">
      <c r="A107" s="106" t="s">
        <v>229</v>
      </c>
      <c r="B107" s="107" t="s">
        <v>230</v>
      </c>
      <c r="C107" s="106" t="s">
        <v>99</v>
      </c>
      <c r="D107" s="106">
        <v>2</v>
      </c>
    </row>
    <row r="108" spans="1:4" ht="57.6">
      <c r="A108" s="106" t="s">
        <v>229</v>
      </c>
      <c r="B108" s="107" t="s">
        <v>231</v>
      </c>
      <c r="C108" s="106" t="s">
        <v>99</v>
      </c>
      <c r="D108" s="106">
        <v>2</v>
      </c>
    </row>
    <row r="109" spans="1:4" ht="43.15">
      <c r="A109" s="106" t="s">
        <v>229</v>
      </c>
      <c r="B109" s="107" t="s">
        <v>232</v>
      </c>
      <c r="C109" s="106" t="s">
        <v>99</v>
      </c>
      <c r="D109" s="106">
        <v>2</v>
      </c>
    </row>
    <row r="110" spans="1:4" ht="57.6">
      <c r="A110" s="106" t="s">
        <v>229</v>
      </c>
      <c r="B110" s="107" t="s">
        <v>233</v>
      </c>
      <c r="C110" s="106" t="s">
        <v>99</v>
      </c>
      <c r="D110" s="106">
        <v>2</v>
      </c>
    </row>
    <row r="111" spans="1:4" ht="43.15">
      <c r="A111" s="106" t="s">
        <v>229</v>
      </c>
      <c r="B111" s="107" t="s">
        <v>234</v>
      </c>
      <c r="C111" s="106" t="s">
        <v>99</v>
      </c>
      <c r="D111" s="106">
        <v>2</v>
      </c>
    </row>
    <row r="112" spans="1:4" ht="43.15">
      <c r="A112" s="106" t="s">
        <v>229</v>
      </c>
      <c r="B112" s="107" t="s">
        <v>235</v>
      </c>
      <c r="C112" s="106" t="s">
        <v>99</v>
      </c>
      <c r="D112" s="106">
        <v>2</v>
      </c>
    </row>
    <row r="113" spans="1:4" ht="43.15">
      <c r="A113" s="106" t="s">
        <v>236</v>
      </c>
      <c r="B113" s="107" t="s">
        <v>237</v>
      </c>
      <c r="C113" s="106" t="s">
        <v>99</v>
      </c>
      <c r="D113" s="106">
        <v>2</v>
      </c>
    </row>
    <row r="114" spans="1:4" ht="43.15">
      <c r="A114" s="106" t="s">
        <v>236</v>
      </c>
      <c r="B114" s="107" t="s">
        <v>238</v>
      </c>
      <c r="C114" s="106" t="s">
        <v>99</v>
      </c>
      <c r="D114" s="106">
        <v>2</v>
      </c>
    </row>
    <row r="115" spans="1:4" ht="57.6">
      <c r="A115" s="106" t="s">
        <v>236</v>
      </c>
      <c r="B115" s="107" t="s">
        <v>239</v>
      </c>
      <c r="C115" s="106" t="s">
        <v>99</v>
      </c>
      <c r="D115" s="106">
        <v>2</v>
      </c>
    </row>
    <row r="116" spans="1:4" ht="43.15">
      <c r="A116" s="106" t="s">
        <v>240</v>
      </c>
      <c r="B116" s="107" t="s">
        <v>241</v>
      </c>
      <c r="C116" s="106" t="s">
        <v>99</v>
      </c>
      <c r="D116" s="106">
        <v>2</v>
      </c>
    </row>
    <row r="117" spans="1:4" ht="72">
      <c r="A117" s="106" t="s">
        <v>240</v>
      </c>
      <c r="B117" s="107" t="s">
        <v>242</v>
      </c>
      <c r="C117" s="106" t="s">
        <v>99</v>
      </c>
      <c r="D117" s="106">
        <v>2</v>
      </c>
    </row>
    <row r="118" spans="1:4" ht="43.15">
      <c r="A118" s="106" t="s">
        <v>240</v>
      </c>
      <c r="B118" s="107" t="s">
        <v>243</v>
      </c>
      <c r="C118" s="106" t="s">
        <v>99</v>
      </c>
      <c r="D118" s="106">
        <v>2</v>
      </c>
    </row>
    <row r="119" spans="1:4" ht="57.6">
      <c r="A119" s="106" t="s">
        <v>240</v>
      </c>
      <c r="B119" s="107" t="s">
        <v>244</v>
      </c>
      <c r="C119" s="106" t="s">
        <v>99</v>
      </c>
      <c r="D119" s="106">
        <v>2</v>
      </c>
    </row>
    <row r="120" spans="1:4" ht="57.6">
      <c r="A120" s="106" t="s">
        <v>245</v>
      </c>
      <c r="B120" s="107" t="s">
        <v>246</v>
      </c>
      <c r="C120" s="106" t="s">
        <v>99</v>
      </c>
      <c r="D120" s="106">
        <v>2</v>
      </c>
    </row>
    <row r="121" spans="1:4" ht="72">
      <c r="A121" s="106" t="s">
        <v>245</v>
      </c>
      <c r="B121" s="107" t="s">
        <v>247</v>
      </c>
      <c r="C121" s="106" t="s">
        <v>99</v>
      </c>
      <c r="D121" s="106">
        <v>2</v>
      </c>
    </row>
    <row r="122" spans="1:4" ht="57.6">
      <c r="A122" s="106" t="s">
        <v>245</v>
      </c>
      <c r="B122" s="107" t="s">
        <v>248</v>
      </c>
      <c r="C122" s="106" t="s">
        <v>99</v>
      </c>
      <c r="D122" s="106">
        <v>2</v>
      </c>
    </row>
    <row r="123" spans="1:4" ht="72">
      <c r="A123" s="106" t="s">
        <v>245</v>
      </c>
      <c r="B123" s="107" t="s">
        <v>249</v>
      </c>
      <c r="C123" s="106" t="s">
        <v>99</v>
      </c>
      <c r="D123" s="106">
        <v>2</v>
      </c>
    </row>
    <row r="124" spans="1:4" ht="57.6">
      <c r="A124" s="106" t="s">
        <v>245</v>
      </c>
      <c r="B124" s="107" t="s">
        <v>250</v>
      </c>
      <c r="C124" s="106" t="s">
        <v>114</v>
      </c>
      <c r="D124" s="106">
        <v>1</v>
      </c>
    </row>
    <row r="125" spans="1:4" ht="57.6">
      <c r="A125" s="106" t="s">
        <v>251</v>
      </c>
      <c r="B125" s="107" t="s">
        <v>252</v>
      </c>
      <c r="C125" s="106" t="s">
        <v>99</v>
      </c>
      <c r="D125" s="106">
        <v>2</v>
      </c>
    </row>
    <row r="126" spans="1:4" ht="57.6">
      <c r="A126" s="106" t="s">
        <v>251</v>
      </c>
      <c r="B126" s="107" t="s">
        <v>253</v>
      </c>
      <c r="C126" s="106" t="s">
        <v>99</v>
      </c>
      <c r="D126" s="106">
        <v>2</v>
      </c>
    </row>
    <row r="127" spans="1:4" ht="43.15">
      <c r="A127" s="106" t="s">
        <v>251</v>
      </c>
      <c r="B127" s="107" t="s">
        <v>254</v>
      </c>
      <c r="C127" s="106" t="s">
        <v>99</v>
      </c>
      <c r="D127" s="106">
        <v>2</v>
      </c>
    </row>
    <row r="128" spans="1:4" ht="43.15">
      <c r="A128" s="106" t="s">
        <v>251</v>
      </c>
      <c r="B128" s="107" t="s">
        <v>255</v>
      </c>
      <c r="C128" s="106" t="s">
        <v>99</v>
      </c>
      <c r="D128" s="106">
        <v>2</v>
      </c>
    </row>
    <row r="129" spans="1:4" ht="43.15">
      <c r="A129" s="106" t="s">
        <v>251</v>
      </c>
      <c r="B129" s="107" t="s">
        <v>256</v>
      </c>
      <c r="C129" s="106" t="s">
        <v>99</v>
      </c>
      <c r="D129" s="106">
        <v>2</v>
      </c>
    </row>
    <row r="130" spans="1:4" ht="43.15">
      <c r="A130" s="106" t="s">
        <v>251</v>
      </c>
      <c r="B130" s="107" t="s">
        <v>257</v>
      </c>
      <c r="C130" s="106" t="s">
        <v>99</v>
      </c>
      <c r="D130" s="106">
        <v>2</v>
      </c>
    </row>
    <row r="131" spans="1:4" ht="57.6">
      <c r="A131" s="106" t="s">
        <v>251</v>
      </c>
      <c r="B131" s="107" t="s">
        <v>258</v>
      </c>
      <c r="C131" s="106" t="s">
        <v>99</v>
      </c>
      <c r="D131" s="106">
        <v>2</v>
      </c>
    </row>
    <row r="132" spans="1:4" ht="43.15">
      <c r="A132" s="106" t="s">
        <v>251</v>
      </c>
      <c r="B132" s="107" t="s">
        <v>259</v>
      </c>
      <c r="C132" s="106" t="s">
        <v>99</v>
      </c>
      <c r="D132" s="106">
        <v>2</v>
      </c>
    </row>
    <row r="133" spans="1:4" ht="43.15">
      <c r="A133" s="106" t="s">
        <v>251</v>
      </c>
      <c r="B133" s="107" t="s">
        <v>260</v>
      </c>
      <c r="C133" s="106" t="s">
        <v>99</v>
      </c>
      <c r="D133" s="106">
        <v>2</v>
      </c>
    </row>
    <row r="134" spans="1:4" ht="43.15">
      <c r="A134" s="106" t="s">
        <v>261</v>
      </c>
      <c r="B134" s="107" t="s">
        <v>262</v>
      </c>
      <c r="C134" s="106" t="s">
        <v>99</v>
      </c>
      <c r="D134" s="106">
        <v>2</v>
      </c>
    </row>
    <row r="135" spans="1:4" ht="57.6">
      <c r="A135" s="106" t="s">
        <v>261</v>
      </c>
      <c r="B135" s="107" t="s">
        <v>263</v>
      </c>
      <c r="C135" s="106" t="s">
        <v>99</v>
      </c>
      <c r="D135" s="106">
        <v>2</v>
      </c>
    </row>
    <row r="136" spans="1:4" ht="57.6">
      <c r="A136" s="106" t="s">
        <v>261</v>
      </c>
      <c r="B136" s="107" t="s">
        <v>264</v>
      </c>
      <c r="C136" s="106" t="s">
        <v>99</v>
      </c>
      <c r="D136" s="106">
        <v>2</v>
      </c>
    </row>
    <row r="137" spans="1:4" ht="72">
      <c r="A137" s="106" t="s">
        <v>261</v>
      </c>
      <c r="B137" s="107" t="s">
        <v>265</v>
      </c>
      <c r="C137" s="106" t="s">
        <v>99</v>
      </c>
      <c r="D137" s="106">
        <v>2</v>
      </c>
    </row>
    <row r="138" spans="1:4" ht="43.15">
      <c r="A138" s="106" t="s">
        <v>261</v>
      </c>
      <c r="B138" s="107" t="s">
        <v>266</v>
      </c>
      <c r="C138" s="106" t="s">
        <v>99</v>
      </c>
      <c r="D138" s="106">
        <v>2</v>
      </c>
    </row>
    <row r="139" spans="1:4" ht="43.15">
      <c r="A139" s="106" t="s">
        <v>267</v>
      </c>
      <c r="B139" s="107" t="s">
        <v>268</v>
      </c>
      <c r="C139" s="106" t="s">
        <v>99</v>
      </c>
      <c r="D139" s="106">
        <v>2</v>
      </c>
    </row>
    <row r="140" spans="1:4" ht="43.15">
      <c r="A140" s="106" t="s">
        <v>267</v>
      </c>
      <c r="B140" s="107" t="s">
        <v>269</v>
      </c>
      <c r="C140" s="106" t="s">
        <v>99</v>
      </c>
      <c r="D140" s="106">
        <v>2</v>
      </c>
    </row>
    <row r="141" spans="1:4" ht="115.15">
      <c r="A141" s="106" t="s">
        <v>267</v>
      </c>
      <c r="B141" s="107" t="s">
        <v>270</v>
      </c>
      <c r="C141" s="106" t="s">
        <v>99</v>
      </c>
      <c r="D141" s="106">
        <v>2</v>
      </c>
    </row>
    <row r="142" spans="1:4" ht="57.6">
      <c r="A142" s="106" t="s">
        <v>267</v>
      </c>
      <c r="B142" s="107" t="s">
        <v>271</v>
      </c>
      <c r="C142" s="106" t="s">
        <v>99</v>
      </c>
      <c r="D142" s="106">
        <v>2</v>
      </c>
    </row>
    <row r="143" spans="1:4" ht="43.15">
      <c r="A143" s="106" t="s">
        <v>267</v>
      </c>
      <c r="B143" s="107" t="s">
        <v>272</v>
      </c>
      <c r="C143" s="106" t="s">
        <v>99</v>
      </c>
      <c r="D143" s="106">
        <v>2</v>
      </c>
    </row>
    <row r="144" spans="1:4" ht="57.6">
      <c r="A144" s="106" t="s">
        <v>267</v>
      </c>
      <c r="B144" s="107" t="s">
        <v>273</v>
      </c>
      <c r="C144" s="106" t="s">
        <v>99</v>
      </c>
      <c r="D144" s="106">
        <v>2</v>
      </c>
    </row>
    <row r="145" spans="1:4" ht="100.9">
      <c r="A145" s="106" t="s">
        <v>274</v>
      </c>
      <c r="B145" s="107" t="s">
        <v>275</v>
      </c>
      <c r="C145" s="106" t="s">
        <v>99</v>
      </c>
      <c r="D145" s="106">
        <v>2</v>
      </c>
    </row>
    <row r="146" spans="1:4" ht="72">
      <c r="A146" s="106" t="s">
        <v>274</v>
      </c>
      <c r="B146" s="107" t="s">
        <v>276</v>
      </c>
      <c r="C146" s="106" t="s">
        <v>99</v>
      </c>
      <c r="D146" s="106">
        <v>2</v>
      </c>
    </row>
    <row r="147" spans="1:4" ht="57.6">
      <c r="A147" s="106" t="s">
        <v>277</v>
      </c>
      <c r="B147" s="107" t="s">
        <v>278</v>
      </c>
      <c r="C147" s="106" t="s">
        <v>99</v>
      </c>
      <c r="D147" s="106">
        <v>2</v>
      </c>
    </row>
    <row r="148" spans="1:4" ht="72">
      <c r="A148" s="106" t="s">
        <v>277</v>
      </c>
      <c r="B148" s="107" t="s">
        <v>279</v>
      </c>
      <c r="C148" s="106" t="s">
        <v>99</v>
      </c>
      <c r="D148" s="106">
        <v>2</v>
      </c>
    </row>
    <row r="149" spans="1:4" ht="57.6">
      <c r="A149" s="106" t="s">
        <v>277</v>
      </c>
      <c r="B149" s="107" t="s">
        <v>280</v>
      </c>
      <c r="C149" s="106" t="s">
        <v>99</v>
      </c>
      <c r="D149" s="106">
        <v>2</v>
      </c>
    </row>
    <row r="150" spans="1:4" ht="57.6">
      <c r="A150" s="106" t="s">
        <v>277</v>
      </c>
      <c r="B150" s="107" t="s">
        <v>281</v>
      </c>
      <c r="C150" s="106" t="s">
        <v>99</v>
      </c>
      <c r="D150" s="106">
        <v>2</v>
      </c>
    </row>
    <row r="151" spans="1:4" ht="72">
      <c r="A151" s="74" t="s">
        <v>282</v>
      </c>
      <c r="B151" s="75" t="s">
        <v>283</v>
      </c>
      <c r="C151" s="74" t="s">
        <v>99</v>
      </c>
      <c r="D151" s="74">
        <v>2</v>
      </c>
    </row>
    <row r="152" spans="1:4" ht="43.15">
      <c r="A152" s="74" t="s">
        <v>282</v>
      </c>
      <c r="B152" s="75" t="s">
        <v>284</v>
      </c>
      <c r="C152" s="74" t="s">
        <v>99</v>
      </c>
      <c r="D152" s="74">
        <v>2</v>
      </c>
    </row>
    <row r="153" spans="1:4" ht="72">
      <c r="A153" s="74" t="s">
        <v>282</v>
      </c>
      <c r="B153" s="75" t="s">
        <v>285</v>
      </c>
      <c r="C153" s="74" t="s">
        <v>99</v>
      </c>
      <c r="D153" s="74">
        <v>2</v>
      </c>
    </row>
    <row r="154" spans="1:4" ht="72">
      <c r="A154" s="74" t="s">
        <v>286</v>
      </c>
      <c r="B154" s="75" t="s">
        <v>287</v>
      </c>
      <c r="C154" s="74" t="s">
        <v>99</v>
      </c>
      <c r="D154" s="74">
        <v>2</v>
      </c>
    </row>
    <row r="155" spans="1:4" ht="43.15">
      <c r="A155" s="74" t="s">
        <v>286</v>
      </c>
      <c r="B155" s="75" t="s">
        <v>288</v>
      </c>
      <c r="C155" s="74" t="s">
        <v>99</v>
      </c>
      <c r="D155" s="74">
        <v>2</v>
      </c>
    </row>
    <row r="156" spans="1:4" ht="43.15">
      <c r="A156" s="74" t="s">
        <v>286</v>
      </c>
      <c r="B156" s="75" t="s">
        <v>289</v>
      </c>
      <c r="C156" s="74" t="s">
        <v>99</v>
      </c>
      <c r="D156" s="74">
        <v>2</v>
      </c>
    </row>
    <row r="157" spans="1:4" ht="28.9">
      <c r="A157" s="74" t="s">
        <v>286</v>
      </c>
      <c r="B157" s="75" t="s">
        <v>290</v>
      </c>
      <c r="C157" s="74" t="s">
        <v>99</v>
      </c>
      <c r="D157" s="74">
        <v>2</v>
      </c>
    </row>
    <row r="158" spans="1:4" ht="57.6">
      <c r="A158" s="74" t="s">
        <v>286</v>
      </c>
      <c r="B158" s="75" t="s">
        <v>291</v>
      </c>
      <c r="C158" s="74" t="s">
        <v>99</v>
      </c>
      <c r="D158" s="74">
        <v>2</v>
      </c>
    </row>
    <row r="159" spans="1:4" ht="28.9">
      <c r="A159" s="74" t="s">
        <v>286</v>
      </c>
      <c r="B159" s="75" t="s">
        <v>292</v>
      </c>
      <c r="C159" s="74" t="s">
        <v>99</v>
      </c>
      <c r="D159" s="74">
        <v>2</v>
      </c>
    </row>
    <row r="160" spans="1:4" ht="43.15">
      <c r="A160" s="74" t="s">
        <v>286</v>
      </c>
      <c r="B160" s="75" t="s">
        <v>293</v>
      </c>
      <c r="C160" s="74" t="s">
        <v>99</v>
      </c>
      <c r="D160" s="74">
        <v>2</v>
      </c>
    </row>
    <row r="161" spans="1:4" ht="57.6">
      <c r="A161" s="74" t="s">
        <v>286</v>
      </c>
      <c r="B161" s="75" t="s">
        <v>294</v>
      </c>
      <c r="C161" s="74" t="s">
        <v>99</v>
      </c>
      <c r="D161" s="74">
        <v>2</v>
      </c>
    </row>
    <row r="162" spans="1:4" ht="86.45">
      <c r="A162" s="74" t="s">
        <v>286</v>
      </c>
      <c r="B162" s="75" t="s">
        <v>295</v>
      </c>
      <c r="C162" s="74" t="s">
        <v>99</v>
      </c>
      <c r="D162" s="74">
        <v>2</v>
      </c>
    </row>
    <row r="163" spans="1:4" ht="72">
      <c r="A163" s="74" t="s">
        <v>286</v>
      </c>
      <c r="B163" s="75" t="s">
        <v>296</v>
      </c>
      <c r="C163" s="74" t="s">
        <v>99</v>
      </c>
      <c r="D163" s="74">
        <v>2</v>
      </c>
    </row>
    <row r="164" spans="1:4" ht="57.6">
      <c r="A164" s="74" t="s">
        <v>286</v>
      </c>
      <c r="B164" s="75" t="s">
        <v>297</v>
      </c>
      <c r="C164" s="74" t="s">
        <v>99</v>
      </c>
      <c r="D164" s="74">
        <v>2</v>
      </c>
    </row>
    <row r="165" spans="1:4" ht="28.9">
      <c r="A165" s="74" t="s">
        <v>286</v>
      </c>
      <c r="B165" s="75" t="s">
        <v>298</v>
      </c>
      <c r="C165" s="74" t="s">
        <v>99</v>
      </c>
      <c r="D165" s="74">
        <v>2</v>
      </c>
    </row>
    <row r="166" spans="1:4" ht="43.15">
      <c r="A166" s="74" t="s">
        <v>286</v>
      </c>
      <c r="B166" s="75" t="s">
        <v>299</v>
      </c>
      <c r="C166" s="74" t="s">
        <v>99</v>
      </c>
      <c r="D166" s="74">
        <v>2</v>
      </c>
    </row>
    <row r="167" spans="1:4" ht="57.6">
      <c r="A167" s="74" t="s">
        <v>286</v>
      </c>
      <c r="B167" s="75" t="s">
        <v>300</v>
      </c>
      <c r="C167" s="74" t="s">
        <v>99</v>
      </c>
      <c r="D167" s="74">
        <v>2</v>
      </c>
    </row>
    <row r="168" spans="1:4" ht="43.15">
      <c r="A168" s="74" t="s">
        <v>301</v>
      </c>
      <c r="B168" s="75" t="s">
        <v>302</v>
      </c>
      <c r="C168" s="74" t="s">
        <v>99</v>
      </c>
      <c r="D168" s="74">
        <v>2</v>
      </c>
    </row>
    <row r="169" spans="1:4" ht="43.15">
      <c r="A169" s="74" t="s">
        <v>301</v>
      </c>
      <c r="B169" s="75" t="s">
        <v>303</v>
      </c>
      <c r="C169" s="74" t="s">
        <v>99</v>
      </c>
      <c r="D169" s="74">
        <v>2</v>
      </c>
    </row>
    <row r="170" spans="1:4" ht="43.15">
      <c r="A170" s="74" t="s">
        <v>301</v>
      </c>
      <c r="B170" s="75" t="s">
        <v>304</v>
      </c>
      <c r="C170" s="74" t="s">
        <v>99</v>
      </c>
      <c r="D170" s="74">
        <v>2</v>
      </c>
    </row>
    <row r="171" spans="1:4" ht="28.9">
      <c r="A171" s="74" t="s">
        <v>301</v>
      </c>
      <c r="B171" s="75" t="s">
        <v>305</v>
      </c>
      <c r="C171" s="74" t="s">
        <v>99</v>
      </c>
      <c r="D171" s="74">
        <v>2</v>
      </c>
    </row>
    <row r="172" spans="1:4" ht="28.9">
      <c r="A172" s="74" t="s">
        <v>301</v>
      </c>
      <c r="B172" s="75" t="s">
        <v>306</v>
      </c>
      <c r="C172" s="74" t="s">
        <v>99</v>
      </c>
      <c r="D172" s="74">
        <v>2</v>
      </c>
    </row>
    <row r="173" spans="1:4" ht="28.9">
      <c r="A173" s="74" t="s">
        <v>301</v>
      </c>
      <c r="B173" s="75" t="s">
        <v>307</v>
      </c>
      <c r="C173" s="74" t="s">
        <v>99</v>
      </c>
      <c r="D173" s="74">
        <v>2</v>
      </c>
    </row>
    <row r="174" spans="1:4" ht="43.15">
      <c r="A174" s="74" t="s">
        <v>301</v>
      </c>
      <c r="B174" s="75" t="s">
        <v>308</v>
      </c>
      <c r="C174" s="74" t="s">
        <v>99</v>
      </c>
      <c r="D174" s="74">
        <v>2</v>
      </c>
    </row>
    <row r="175" spans="1:4" ht="28.9">
      <c r="A175" s="74" t="s">
        <v>301</v>
      </c>
      <c r="B175" s="75" t="s">
        <v>309</v>
      </c>
      <c r="C175" s="74" t="s">
        <v>99</v>
      </c>
      <c r="D175" s="74">
        <v>2</v>
      </c>
    </row>
    <row r="176" spans="1:4" ht="43.15">
      <c r="A176" s="74" t="s">
        <v>301</v>
      </c>
      <c r="B176" s="75" t="s">
        <v>310</v>
      </c>
      <c r="C176" s="74" t="s">
        <v>99</v>
      </c>
      <c r="D176" s="74">
        <v>2</v>
      </c>
    </row>
    <row r="177" spans="1:4" ht="57.6">
      <c r="A177" s="74" t="s">
        <v>311</v>
      </c>
      <c r="B177" s="75" t="s">
        <v>312</v>
      </c>
      <c r="C177" s="74" t="s">
        <v>99</v>
      </c>
      <c r="D177" s="74">
        <v>2</v>
      </c>
    </row>
    <row r="178" spans="1:4" ht="72">
      <c r="A178" s="74" t="s">
        <v>311</v>
      </c>
      <c r="B178" s="75" t="s">
        <v>313</v>
      </c>
      <c r="C178" s="74" t="s">
        <v>99</v>
      </c>
      <c r="D178" s="74">
        <v>2</v>
      </c>
    </row>
    <row r="179" spans="1:4" ht="43.15">
      <c r="A179" s="74" t="s">
        <v>311</v>
      </c>
      <c r="B179" s="75" t="s">
        <v>314</v>
      </c>
      <c r="C179" s="74" t="s">
        <v>99</v>
      </c>
      <c r="D179" s="74">
        <v>2</v>
      </c>
    </row>
    <row r="180" spans="1:4" ht="57.6">
      <c r="A180" s="74" t="s">
        <v>315</v>
      </c>
      <c r="B180" s="75" t="s">
        <v>316</v>
      </c>
      <c r="C180" s="74" t="s">
        <v>99</v>
      </c>
      <c r="D180" s="74">
        <v>2</v>
      </c>
    </row>
    <row r="181" spans="1:4" ht="57.6">
      <c r="A181" s="74" t="s">
        <v>315</v>
      </c>
      <c r="B181" s="75" t="s">
        <v>317</v>
      </c>
      <c r="C181" s="74" t="s">
        <v>99</v>
      </c>
      <c r="D181" s="74">
        <v>2</v>
      </c>
    </row>
    <row r="182" spans="1:4" ht="28.9">
      <c r="A182" s="74" t="s">
        <v>315</v>
      </c>
      <c r="B182" s="75" t="s">
        <v>318</v>
      </c>
      <c r="C182" s="74" t="s">
        <v>99</v>
      </c>
      <c r="D182" s="74">
        <v>2</v>
      </c>
    </row>
    <row r="183" spans="1:4" ht="72">
      <c r="A183" s="74" t="s">
        <v>315</v>
      </c>
      <c r="B183" s="75" t="s">
        <v>319</v>
      </c>
      <c r="C183" s="74" t="s">
        <v>99</v>
      </c>
      <c r="D183" s="74">
        <v>2</v>
      </c>
    </row>
    <row r="184" spans="1:4" ht="158.44999999999999">
      <c r="A184" s="74" t="s">
        <v>315</v>
      </c>
      <c r="B184" s="75" t="s">
        <v>320</v>
      </c>
      <c r="C184" s="74" t="s">
        <v>99</v>
      </c>
      <c r="D184" s="74">
        <v>2</v>
      </c>
    </row>
    <row r="185" spans="1:4" ht="28.9">
      <c r="A185" s="74" t="s">
        <v>315</v>
      </c>
      <c r="B185" s="75" t="s">
        <v>321</v>
      </c>
      <c r="C185" s="74" t="s">
        <v>99</v>
      </c>
      <c r="D185" s="74">
        <v>2</v>
      </c>
    </row>
    <row r="186" spans="1:4" ht="43.15">
      <c r="A186" s="74" t="s">
        <v>322</v>
      </c>
      <c r="B186" s="75" t="s">
        <v>323</v>
      </c>
      <c r="C186" s="74" t="s">
        <v>99</v>
      </c>
      <c r="D186" s="74">
        <v>2</v>
      </c>
    </row>
    <row r="187" spans="1:4" ht="43.15">
      <c r="A187" s="74" t="s">
        <v>322</v>
      </c>
      <c r="B187" s="75" t="s">
        <v>324</v>
      </c>
      <c r="C187" s="74" t="s">
        <v>99</v>
      </c>
      <c r="D187" s="74">
        <v>2</v>
      </c>
    </row>
    <row r="188" spans="1:4" ht="43.15">
      <c r="A188" s="74" t="s">
        <v>322</v>
      </c>
      <c r="B188" s="75" t="s">
        <v>325</v>
      </c>
      <c r="C188" s="74" t="s">
        <v>114</v>
      </c>
      <c r="D188" s="74">
        <v>1</v>
      </c>
    </row>
    <row r="189" spans="1:4" ht="57.6">
      <c r="A189" s="74" t="s">
        <v>322</v>
      </c>
      <c r="B189" s="75" t="s">
        <v>326</v>
      </c>
      <c r="C189" s="74" t="s">
        <v>114</v>
      </c>
      <c r="D189" s="74">
        <v>1</v>
      </c>
    </row>
    <row r="190" spans="1:4" ht="43.15">
      <c r="A190" s="74" t="s">
        <v>322</v>
      </c>
      <c r="B190" s="75" t="s">
        <v>327</v>
      </c>
      <c r="C190" s="74" t="s">
        <v>114</v>
      </c>
      <c r="D190" s="74">
        <v>1</v>
      </c>
    </row>
    <row r="191" spans="1:4" ht="57.6">
      <c r="A191" s="74" t="s">
        <v>328</v>
      </c>
      <c r="B191" s="75" t="s">
        <v>329</v>
      </c>
      <c r="C191" s="74" t="s">
        <v>99</v>
      </c>
      <c r="D191" s="74">
        <v>2</v>
      </c>
    </row>
    <row r="192" spans="1:4" ht="43.15">
      <c r="A192" s="74" t="s">
        <v>328</v>
      </c>
      <c r="B192" s="75" t="s">
        <v>330</v>
      </c>
      <c r="C192" s="74" t="s">
        <v>99</v>
      </c>
      <c r="D192" s="74">
        <v>2</v>
      </c>
    </row>
    <row r="193" spans="1:4" ht="43.15">
      <c r="A193" s="74" t="s">
        <v>328</v>
      </c>
      <c r="B193" s="75" t="s">
        <v>331</v>
      </c>
      <c r="C193" s="74" t="s">
        <v>99</v>
      </c>
      <c r="D193" s="74">
        <v>2</v>
      </c>
    </row>
    <row r="194" spans="1:4" ht="43.15">
      <c r="A194" s="74" t="s">
        <v>328</v>
      </c>
      <c r="B194" s="75" t="s">
        <v>332</v>
      </c>
      <c r="C194" s="74" t="s">
        <v>99</v>
      </c>
      <c r="D194" s="74">
        <v>2</v>
      </c>
    </row>
    <row r="195" spans="1:4" ht="43.15">
      <c r="A195" s="74" t="s">
        <v>328</v>
      </c>
      <c r="B195" s="75" t="s">
        <v>333</v>
      </c>
      <c r="C195" s="74" t="s">
        <v>99</v>
      </c>
      <c r="D195" s="74">
        <v>2</v>
      </c>
    </row>
    <row r="196" spans="1:4" ht="57.6">
      <c r="A196" s="74" t="s">
        <v>334</v>
      </c>
      <c r="B196" s="75" t="s">
        <v>335</v>
      </c>
      <c r="C196" s="74" t="s">
        <v>99</v>
      </c>
      <c r="D196" s="74">
        <v>2</v>
      </c>
    </row>
    <row r="197" spans="1:4" ht="43.15">
      <c r="A197" s="74" t="s">
        <v>334</v>
      </c>
      <c r="B197" s="75" t="s">
        <v>330</v>
      </c>
      <c r="C197" s="74" t="s">
        <v>99</v>
      </c>
      <c r="D197" s="74">
        <v>2</v>
      </c>
    </row>
    <row r="198" spans="1:4" ht="43.15">
      <c r="A198" s="74" t="s">
        <v>334</v>
      </c>
      <c r="B198" s="75" t="s">
        <v>336</v>
      </c>
      <c r="C198" s="74" t="s">
        <v>99</v>
      </c>
      <c r="D198" s="74">
        <v>2</v>
      </c>
    </row>
    <row r="199" spans="1:4" ht="43.15">
      <c r="A199" s="74" t="s">
        <v>334</v>
      </c>
      <c r="B199" s="75" t="s">
        <v>332</v>
      </c>
      <c r="C199" s="74" t="s">
        <v>99</v>
      </c>
      <c r="D199" s="74">
        <v>2</v>
      </c>
    </row>
    <row r="200" spans="1:4" ht="43.15">
      <c r="A200" s="74" t="s">
        <v>334</v>
      </c>
      <c r="B200" s="75" t="s">
        <v>337</v>
      </c>
      <c r="C200" s="74" t="s">
        <v>99</v>
      </c>
      <c r="D200" s="74">
        <v>2</v>
      </c>
    </row>
    <row r="201" spans="1:4" ht="57.6">
      <c r="A201" s="74" t="s">
        <v>338</v>
      </c>
      <c r="B201" s="75" t="s">
        <v>339</v>
      </c>
      <c r="C201" s="74" t="s">
        <v>99</v>
      </c>
      <c r="D201" s="74">
        <v>2</v>
      </c>
    </row>
    <row r="202" spans="1:4" ht="43.15">
      <c r="A202" s="74" t="s">
        <v>338</v>
      </c>
      <c r="B202" s="75" t="s">
        <v>340</v>
      </c>
      <c r="C202" s="74" t="s">
        <v>99</v>
      </c>
      <c r="D202" s="74">
        <v>2</v>
      </c>
    </row>
    <row r="203" spans="1:4" ht="72">
      <c r="A203" s="74" t="s">
        <v>338</v>
      </c>
      <c r="B203" s="75" t="s">
        <v>341</v>
      </c>
      <c r="C203" s="74" t="s">
        <v>99</v>
      </c>
      <c r="D203" s="74">
        <v>2</v>
      </c>
    </row>
    <row r="204" spans="1:4" ht="57.6">
      <c r="A204" s="74" t="s">
        <v>338</v>
      </c>
      <c r="B204" s="75" t="s">
        <v>342</v>
      </c>
      <c r="C204" s="74" t="s">
        <v>99</v>
      </c>
      <c r="D204" s="74">
        <v>2</v>
      </c>
    </row>
    <row r="205" spans="1:4" ht="57.6">
      <c r="A205" s="74" t="s">
        <v>338</v>
      </c>
      <c r="B205" s="75" t="s">
        <v>343</v>
      </c>
      <c r="C205" s="74" t="s">
        <v>99</v>
      </c>
      <c r="D205" s="74">
        <v>2</v>
      </c>
    </row>
    <row r="206" spans="1:4" ht="86.45">
      <c r="A206" s="74" t="s">
        <v>344</v>
      </c>
      <c r="B206" s="75" t="s">
        <v>345</v>
      </c>
      <c r="C206" s="74" t="s">
        <v>99</v>
      </c>
      <c r="D206" s="74">
        <v>2</v>
      </c>
    </row>
    <row r="207" spans="1:4" ht="86.45">
      <c r="A207" s="74" t="s">
        <v>344</v>
      </c>
      <c r="B207" s="75" t="s">
        <v>346</v>
      </c>
      <c r="C207" s="74" t="s">
        <v>99</v>
      </c>
      <c r="D207" s="74">
        <v>2</v>
      </c>
    </row>
    <row r="208" spans="1:4" ht="57.6">
      <c r="A208" s="74" t="s">
        <v>344</v>
      </c>
      <c r="B208" s="75" t="s">
        <v>347</v>
      </c>
      <c r="C208" s="74" t="s">
        <v>99</v>
      </c>
      <c r="D208" s="74">
        <v>2</v>
      </c>
    </row>
    <row r="209" spans="1:4" ht="72">
      <c r="A209" s="74" t="s">
        <v>348</v>
      </c>
      <c r="B209" s="75" t="s">
        <v>349</v>
      </c>
      <c r="C209" s="74" t="s">
        <v>99</v>
      </c>
      <c r="D209" s="74">
        <v>2</v>
      </c>
    </row>
    <row r="210" spans="1:4" ht="72">
      <c r="A210" s="74" t="s">
        <v>348</v>
      </c>
      <c r="B210" s="75" t="s">
        <v>350</v>
      </c>
      <c r="C210" s="74" t="s">
        <v>99</v>
      </c>
      <c r="D210" s="74">
        <v>2</v>
      </c>
    </row>
    <row r="211" spans="1:4" ht="100.9">
      <c r="A211" s="74" t="s">
        <v>348</v>
      </c>
      <c r="B211" s="75" t="s">
        <v>351</v>
      </c>
      <c r="C211" s="74" t="s">
        <v>99</v>
      </c>
      <c r="D211" s="74">
        <v>2</v>
      </c>
    </row>
    <row r="212" spans="1:4" ht="57.6">
      <c r="A212" s="74" t="s">
        <v>352</v>
      </c>
      <c r="B212" s="75" t="s">
        <v>353</v>
      </c>
      <c r="C212" s="74" t="s">
        <v>99</v>
      </c>
      <c r="D212" s="74">
        <v>2</v>
      </c>
    </row>
    <row r="213" spans="1:4" ht="129.6">
      <c r="A213" s="74" t="s">
        <v>352</v>
      </c>
      <c r="B213" s="75" t="s">
        <v>354</v>
      </c>
      <c r="C213" s="74" t="s">
        <v>99</v>
      </c>
      <c r="D213" s="74">
        <v>2</v>
      </c>
    </row>
    <row r="214" spans="1:4" ht="86.45">
      <c r="A214" s="74" t="s">
        <v>352</v>
      </c>
      <c r="B214" s="75" t="s">
        <v>355</v>
      </c>
      <c r="C214" s="74" t="s">
        <v>99</v>
      </c>
      <c r="D214" s="74">
        <v>2</v>
      </c>
    </row>
    <row r="215" spans="1:4" ht="72">
      <c r="A215" s="74" t="s">
        <v>352</v>
      </c>
      <c r="B215" s="75" t="s">
        <v>356</v>
      </c>
      <c r="C215" s="74" t="s">
        <v>99</v>
      </c>
      <c r="D215" s="74">
        <v>2</v>
      </c>
    </row>
    <row r="216" spans="1:4" ht="57.6">
      <c r="A216" s="74" t="s">
        <v>357</v>
      </c>
      <c r="B216" s="75" t="s">
        <v>358</v>
      </c>
      <c r="C216" s="74" t="s">
        <v>99</v>
      </c>
      <c r="D216" s="74">
        <v>2</v>
      </c>
    </row>
    <row r="217" spans="1:4" ht="100.9">
      <c r="A217" s="74" t="s">
        <v>357</v>
      </c>
      <c r="B217" s="75" t="s">
        <v>359</v>
      </c>
      <c r="C217" s="74" t="s">
        <v>99</v>
      </c>
      <c r="D217" s="74">
        <v>2</v>
      </c>
    </row>
    <row r="218" spans="1:4" ht="57.6">
      <c r="A218" s="74" t="s">
        <v>357</v>
      </c>
      <c r="B218" s="75" t="s">
        <v>360</v>
      </c>
      <c r="C218" s="74" t="s">
        <v>99</v>
      </c>
      <c r="D218" s="74">
        <v>2</v>
      </c>
    </row>
    <row r="219" spans="1:4" ht="72">
      <c r="A219" s="74" t="s">
        <v>361</v>
      </c>
      <c r="B219" s="75" t="s">
        <v>362</v>
      </c>
      <c r="C219" s="74" t="s">
        <v>99</v>
      </c>
      <c r="D219" s="74">
        <v>2</v>
      </c>
    </row>
    <row r="220" spans="1:4" ht="72">
      <c r="A220" s="74" t="s">
        <v>361</v>
      </c>
      <c r="B220" s="75" t="s">
        <v>363</v>
      </c>
      <c r="C220" s="74" t="s">
        <v>99</v>
      </c>
      <c r="D220" s="74">
        <v>2</v>
      </c>
    </row>
    <row r="221" spans="1:4" ht="57.6">
      <c r="A221" s="74" t="s">
        <v>361</v>
      </c>
      <c r="B221" s="75" t="s">
        <v>364</v>
      </c>
      <c r="C221" s="74" t="s">
        <v>99</v>
      </c>
      <c r="D221" s="74">
        <v>2</v>
      </c>
    </row>
    <row r="222" spans="1:4" ht="43.15">
      <c r="A222" s="74" t="s">
        <v>361</v>
      </c>
      <c r="B222" s="75" t="s">
        <v>365</v>
      </c>
      <c r="C222" s="74" t="s">
        <v>99</v>
      </c>
      <c r="D222" s="74">
        <v>2</v>
      </c>
    </row>
    <row r="223" spans="1:4" ht="57.6">
      <c r="A223" s="74" t="s">
        <v>361</v>
      </c>
      <c r="B223" s="75" t="s">
        <v>366</v>
      </c>
      <c r="C223" s="74" t="s">
        <v>99</v>
      </c>
      <c r="D223" s="74">
        <v>2</v>
      </c>
    </row>
    <row r="224" spans="1:4" ht="43.15">
      <c r="A224" s="74" t="s">
        <v>367</v>
      </c>
      <c r="B224" s="75" t="s">
        <v>368</v>
      </c>
      <c r="C224" s="74" t="s">
        <v>99</v>
      </c>
      <c r="D224" s="74">
        <v>2</v>
      </c>
    </row>
    <row r="225" spans="1:4" ht="158.44999999999999">
      <c r="A225" s="74" t="s">
        <v>367</v>
      </c>
      <c r="B225" s="75" t="s">
        <v>369</v>
      </c>
      <c r="C225" s="74" t="s">
        <v>99</v>
      </c>
      <c r="D225" s="74">
        <v>2</v>
      </c>
    </row>
    <row r="226" spans="1:4" ht="57.6">
      <c r="A226" s="74" t="s">
        <v>367</v>
      </c>
      <c r="B226" s="75" t="s">
        <v>370</v>
      </c>
      <c r="C226" s="74" t="s">
        <v>99</v>
      </c>
      <c r="D226" s="74">
        <v>2</v>
      </c>
    </row>
    <row r="227" spans="1:4" ht="43.15">
      <c r="A227" s="74" t="s">
        <v>367</v>
      </c>
      <c r="B227" s="75" t="s">
        <v>371</v>
      </c>
      <c r="C227" s="74" t="s">
        <v>99</v>
      </c>
      <c r="D227" s="74">
        <v>2</v>
      </c>
    </row>
    <row r="228" spans="1:4" ht="43.15">
      <c r="A228" s="74" t="s">
        <v>367</v>
      </c>
      <c r="B228" s="75" t="s">
        <v>372</v>
      </c>
      <c r="C228" s="74" t="s">
        <v>99</v>
      </c>
      <c r="D228" s="74">
        <v>2</v>
      </c>
    </row>
    <row r="229" spans="1:4" ht="43.15">
      <c r="A229" s="74" t="s">
        <v>367</v>
      </c>
      <c r="B229" s="75" t="s">
        <v>373</v>
      </c>
      <c r="C229" s="74" t="s">
        <v>99</v>
      </c>
      <c r="D229" s="74">
        <v>2</v>
      </c>
    </row>
    <row r="230" spans="1:4" ht="43.15">
      <c r="A230" s="74" t="s">
        <v>367</v>
      </c>
      <c r="B230" s="75" t="s">
        <v>374</v>
      </c>
      <c r="C230" s="74" t="s">
        <v>99</v>
      </c>
      <c r="D230" s="74">
        <v>2</v>
      </c>
    </row>
    <row r="231" spans="1:4" ht="86.45">
      <c r="A231" s="74" t="s">
        <v>375</v>
      </c>
      <c r="B231" s="75" t="s">
        <v>376</v>
      </c>
      <c r="C231" s="74" t="s">
        <v>99</v>
      </c>
      <c r="D231" s="74">
        <v>2</v>
      </c>
    </row>
    <row r="232" spans="1:4" ht="43.15">
      <c r="A232" s="74" t="s">
        <v>375</v>
      </c>
      <c r="B232" s="75" t="s">
        <v>377</v>
      </c>
      <c r="C232" s="74" t="s">
        <v>99</v>
      </c>
      <c r="D232" s="74">
        <v>2</v>
      </c>
    </row>
    <row r="233" spans="1:4" ht="57.6">
      <c r="A233" s="74" t="s">
        <v>375</v>
      </c>
      <c r="B233" s="75" t="s">
        <v>378</v>
      </c>
      <c r="C233" s="74" t="s">
        <v>99</v>
      </c>
      <c r="D233" s="74">
        <v>2</v>
      </c>
    </row>
    <row r="234" spans="1:4" ht="43.15">
      <c r="A234" s="74" t="s">
        <v>375</v>
      </c>
      <c r="B234" s="75" t="s">
        <v>379</v>
      </c>
      <c r="C234" s="74" t="s">
        <v>99</v>
      </c>
      <c r="D234" s="74">
        <v>2</v>
      </c>
    </row>
    <row r="235" spans="1:4" ht="43.15">
      <c r="A235" s="74" t="s">
        <v>375</v>
      </c>
      <c r="B235" s="75" t="s">
        <v>380</v>
      </c>
      <c r="C235" s="74" t="s">
        <v>99</v>
      </c>
      <c r="D235" s="74">
        <v>2</v>
      </c>
    </row>
    <row r="236" spans="1:4" ht="43.15">
      <c r="A236" s="74" t="s">
        <v>375</v>
      </c>
      <c r="B236" s="75" t="s">
        <v>381</v>
      </c>
      <c r="C236" s="74" t="s">
        <v>99</v>
      </c>
      <c r="D236" s="74">
        <v>2</v>
      </c>
    </row>
    <row r="237" spans="1:4" ht="43.15">
      <c r="A237" s="106" t="s">
        <v>382</v>
      </c>
      <c r="B237" s="107" t="s">
        <v>383</v>
      </c>
      <c r="C237" s="106" t="s">
        <v>99</v>
      </c>
      <c r="D237" s="106">
        <v>2</v>
      </c>
    </row>
    <row r="238" spans="1:4" ht="72">
      <c r="A238" s="106" t="s">
        <v>382</v>
      </c>
      <c r="B238" s="107" t="s">
        <v>384</v>
      </c>
      <c r="C238" s="106" t="s">
        <v>99</v>
      </c>
      <c r="D238" s="106">
        <v>2</v>
      </c>
    </row>
    <row r="239" spans="1:4" ht="43.15">
      <c r="A239" s="106" t="s">
        <v>382</v>
      </c>
      <c r="B239" s="107" t="s">
        <v>385</v>
      </c>
      <c r="C239" s="106" t="s">
        <v>99</v>
      </c>
      <c r="D239" s="106">
        <v>2</v>
      </c>
    </row>
    <row r="240" spans="1:4" ht="57.6">
      <c r="A240" s="106" t="s">
        <v>382</v>
      </c>
      <c r="B240" s="107" t="s">
        <v>386</v>
      </c>
      <c r="C240" s="106" t="s">
        <v>99</v>
      </c>
      <c r="D240" s="106">
        <v>2</v>
      </c>
    </row>
    <row r="241" spans="1:4" ht="57.6">
      <c r="A241" s="106" t="s">
        <v>382</v>
      </c>
      <c r="B241" s="107" t="s">
        <v>387</v>
      </c>
      <c r="C241" s="106" t="s">
        <v>99</v>
      </c>
      <c r="D241" s="106">
        <v>2</v>
      </c>
    </row>
    <row r="242" spans="1:4" ht="57.6">
      <c r="A242" s="106" t="s">
        <v>382</v>
      </c>
      <c r="B242" s="107" t="s">
        <v>388</v>
      </c>
      <c r="C242" s="106" t="s">
        <v>99</v>
      </c>
      <c r="D242" s="106">
        <v>2</v>
      </c>
    </row>
    <row r="243" spans="1:4" ht="57.6">
      <c r="A243" s="106" t="s">
        <v>382</v>
      </c>
      <c r="B243" s="107" t="s">
        <v>389</v>
      </c>
      <c r="C243" s="106" t="s">
        <v>99</v>
      </c>
      <c r="D243" s="106">
        <v>2</v>
      </c>
    </row>
    <row r="244" spans="1:4" ht="57.6">
      <c r="A244" s="106" t="s">
        <v>382</v>
      </c>
      <c r="B244" s="107" t="s">
        <v>390</v>
      </c>
      <c r="C244" s="106" t="s">
        <v>99</v>
      </c>
      <c r="D244" s="106">
        <v>2</v>
      </c>
    </row>
    <row r="245" spans="1:4" ht="57.6">
      <c r="A245" s="106" t="s">
        <v>391</v>
      </c>
      <c r="B245" s="107" t="s">
        <v>392</v>
      </c>
      <c r="C245" s="106" t="s">
        <v>99</v>
      </c>
      <c r="D245" s="106">
        <v>2</v>
      </c>
    </row>
    <row r="246" spans="1:4" ht="43.15">
      <c r="A246" s="106" t="s">
        <v>391</v>
      </c>
      <c r="B246" s="107" t="s">
        <v>393</v>
      </c>
      <c r="C246" s="106" t="s">
        <v>99</v>
      </c>
      <c r="D246" s="106">
        <v>2</v>
      </c>
    </row>
    <row r="247" spans="1:4" ht="72">
      <c r="A247" s="106" t="s">
        <v>391</v>
      </c>
      <c r="B247" s="107" t="s">
        <v>394</v>
      </c>
      <c r="C247" s="106" t="s">
        <v>99</v>
      </c>
      <c r="D247" s="106">
        <v>2</v>
      </c>
    </row>
    <row r="248" spans="1:4" ht="57.6">
      <c r="A248" s="106" t="s">
        <v>391</v>
      </c>
      <c r="B248" s="107" t="s">
        <v>395</v>
      </c>
      <c r="C248" s="106" t="s">
        <v>99</v>
      </c>
      <c r="D248" s="106">
        <v>2</v>
      </c>
    </row>
    <row r="249" spans="1:4" ht="57.6">
      <c r="A249" s="106" t="s">
        <v>391</v>
      </c>
      <c r="B249" s="107" t="s">
        <v>396</v>
      </c>
      <c r="C249" s="106" t="s">
        <v>99</v>
      </c>
      <c r="D249" s="106">
        <v>2</v>
      </c>
    </row>
    <row r="250" spans="1:4" ht="57.6">
      <c r="A250" s="106" t="s">
        <v>397</v>
      </c>
      <c r="B250" s="107" t="s">
        <v>398</v>
      </c>
      <c r="C250" s="106" t="s">
        <v>114</v>
      </c>
      <c r="D250" s="106">
        <v>1</v>
      </c>
    </row>
    <row r="251" spans="1:4" ht="86.45">
      <c r="A251" s="106" t="s">
        <v>397</v>
      </c>
      <c r="B251" s="107" t="s">
        <v>399</v>
      </c>
      <c r="C251" s="106" t="s">
        <v>114</v>
      </c>
      <c r="D251" s="106">
        <v>1</v>
      </c>
    </row>
    <row r="252" spans="1:4" ht="43.15">
      <c r="A252" s="106" t="s">
        <v>397</v>
      </c>
      <c r="B252" s="107" t="s">
        <v>400</v>
      </c>
      <c r="C252" s="106" t="s">
        <v>114</v>
      </c>
      <c r="D252" s="106">
        <v>1</v>
      </c>
    </row>
    <row r="253" spans="1:4" ht="43.15">
      <c r="A253" s="106" t="s">
        <v>397</v>
      </c>
      <c r="B253" s="107" t="s">
        <v>401</v>
      </c>
      <c r="C253" s="106" t="s">
        <v>114</v>
      </c>
      <c r="D253" s="106">
        <v>1</v>
      </c>
    </row>
    <row r="254" spans="1:4" ht="57.6">
      <c r="A254" s="106" t="s">
        <v>397</v>
      </c>
      <c r="B254" s="107" t="s">
        <v>402</v>
      </c>
      <c r="C254" s="106" t="s">
        <v>114</v>
      </c>
      <c r="D254" s="106">
        <v>1</v>
      </c>
    </row>
    <row r="255" spans="1:4" ht="72">
      <c r="A255" s="106" t="s">
        <v>397</v>
      </c>
      <c r="B255" s="107" t="s">
        <v>403</v>
      </c>
      <c r="C255" s="106" t="s">
        <v>114</v>
      </c>
      <c r="D255" s="106">
        <v>1</v>
      </c>
    </row>
    <row r="256" spans="1:4" ht="57.6">
      <c r="A256" s="106" t="s">
        <v>404</v>
      </c>
      <c r="B256" s="107" t="s">
        <v>405</v>
      </c>
      <c r="C256" s="106" t="s">
        <v>99</v>
      </c>
      <c r="D256" s="106">
        <v>2</v>
      </c>
    </row>
    <row r="257" spans="1:4" ht="57.6">
      <c r="A257" s="106" t="s">
        <v>404</v>
      </c>
      <c r="B257" s="107" t="s">
        <v>406</v>
      </c>
      <c r="C257" s="106" t="s">
        <v>99</v>
      </c>
      <c r="D257" s="106">
        <v>2</v>
      </c>
    </row>
    <row r="258" spans="1:4" ht="57.6">
      <c r="A258" s="106" t="s">
        <v>404</v>
      </c>
      <c r="B258" s="107" t="s">
        <v>407</v>
      </c>
      <c r="C258" s="106" t="s">
        <v>99</v>
      </c>
      <c r="D258" s="106">
        <v>2</v>
      </c>
    </row>
    <row r="259" spans="1:4" ht="57.6">
      <c r="A259" s="106" t="s">
        <v>404</v>
      </c>
      <c r="B259" s="107" t="s">
        <v>408</v>
      </c>
      <c r="C259" s="106" t="s">
        <v>99</v>
      </c>
      <c r="D259" s="106">
        <v>2</v>
      </c>
    </row>
    <row r="260" spans="1:4" ht="43.15">
      <c r="A260" s="106" t="s">
        <v>409</v>
      </c>
      <c r="B260" s="107" t="s">
        <v>410</v>
      </c>
      <c r="C260" s="106" t="s">
        <v>114</v>
      </c>
      <c r="D260" s="106">
        <v>1</v>
      </c>
    </row>
    <row r="261" spans="1:4" ht="43.15">
      <c r="A261" s="106" t="s">
        <v>409</v>
      </c>
      <c r="B261" s="107" t="s">
        <v>411</v>
      </c>
      <c r="C261" s="106" t="s">
        <v>114</v>
      </c>
      <c r="D261" s="106">
        <v>1</v>
      </c>
    </row>
    <row r="262" spans="1:4" ht="57.6">
      <c r="A262" s="106" t="s">
        <v>409</v>
      </c>
      <c r="B262" s="107" t="s">
        <v>412</v>
      </c>
      <c r="C262" s="106" t="s">
        <v>114</v>
      </c>
      <c r="D262" s="106">
        <v>1</v>
      </c>
    </row>
    <row r="263" spans="1:4" ht="43.15">
      <c r="A263" s="106" t="s">
        <v>409</v>
      </c>
      <c r="B263" s="107" t="s">
        <v>413</v>
      </c>
      <c r="C263" s="106" t="s">
        <v>114</v>
      </c>
      <c r="D263" s="106">
        <v>1</v>
      </c>
    </row>
    <row r="264" spans="1:4" ht="43.15">
      <c r="A264" s="106" t="s">
        <v>409</v>
      </c>
      <c r="B264" s="107" t="s">
        <v>414</v>
      </c>
      <c r="C264" s="106" t="s">
        <v>114</v>
      </c>
      <c r="D264" s="106">
        <v>1</v>
      </c>
    </row>
    <row r="265" spans="1:4" ht="43.15">
      <c r="A265" s="106" t="s">
        <v>409</v>
      </c>
      <c r="B265" s="107" t="s">
        <v>415</v>
      </c>
      <c r="C265" s="106" t="s">
        <v>114</v>
      </c>
      <c r="D265" s="106">
        <v>1</v>
      </c>
    </row>
    <row r="266" spans="1:4" ht="43.15">
      <c r="A266" s="106" t="s">
        <v>409</v>
      </c>
      <c r="B266" s="107" t="s">
        <v>416</v>
      </c>
      <c r="C266" s="106" t="s">
        <v>114</v>
      </c>
      <c r="D266" s="106">
        <v>1</v>
      </c>
    </row>
    <row r="267" spans="1:4" ht="57.6">
      <c r="A267" s="106" t="s">
        <v>417</v>
      </c>
      <c r="B267" s="107" t="s">
        <v>418</v>
      </c>
      <c r="C267" s="106" t="s">
        <v>99</v>
      </c>
      <c r="D267" s="106">
        <v>2</v>
      </c>
    </row>
    <row r="268" spans="1:4" ht="43.15">
      <c r="A268" s="106" t="s">
        <v>417</v>
      </c>
      <c r="B268" s="107" t="s">
        <v>419</v>
      </c>
      <c r="C268" s="106" t="s">
        <v>99</v>
      </c>
      <c r="D268" s="106">
        <v>2</v>
      </c>
    </row>
    <row r="269" spans="1:4" ht="57.6">
      <c r="A269" s="106" t="s">
        <v>417</v>
      </c>
      <c r="B269" s="107" t="s">
        <v>420</v>
      </c>
      <c r="C269" s="106" t="s">
        <v>99</v>
      </c>
      <c r="D269" s="106">
        <v>2</v>
      </c>
    </row>
    <row r="270" spans="1:4" ht="43.15">
      <c r="A270" s="106" t="s">
        <v>417</v>
      </c>
      <c r="B270" s="107" t="s">
        <v>421</v>
      </c>
      <c r="C270" s="106" t="s">
        <v>99</v>
      </c>
      <c r="D270" s="106">
        <v>2</v>
      </c>
    </row>
    <row r="271" spans="1:4" ht="57.6">
      <c r="A271" s="106" t="s">
        <v>417</v>
      </c>
      <c r="B271" s="107" t="s">
        <v>422</v>
      </c>
      <c r="C271" s="106" t="s">
        <v>99</v>
      </c>
      <c r="D271" s="106">
        <v>2</v>
      </c>
    </row>
    <row r="272" spans="1:4" ht="57.6">
      <c r="A272" s="106" t="s">
        <v>423</v>
      </c>
      <c r="B272" s="107" t="s">
        <v>424</v>
      </c>
      <c r="C272" s="106" t="s">
        <v>99</v>
      </c>
      <c r="D272" s="106">
        <v>2</v>
      </c>
    </row>
    <row r="273" spans="1:4" ht="72">
      <c r="A273" s="106" t="s">
        <v>423</v>
      </c>
      <c r="B273" s="107" t="s">
        <v>425</v>
      </c>
      <c r="C273" s="106" t="s">
        <v>99</v>
      </c>
      <c r="D273" s="106">
        <v>2</v>
      </c>
    </row>
    <row r="274" spans="1:4" ht="72">
      <c r="A274" s="106" t="s">
        <v>423</v>
      </c>
      <c r="B274" s="107" t="s">
        <v>426</v>
      </c>
      <c r="C274" s="106" t="s">
        <v>99</v>
      </c>
      <c r="D274" s="106">
        <v>2</v>
      </c>
    </row>
    <row r="275" spans="1:4" ht="72">
      <c r="A275" s="106" t="s">
        <v>423</v>
      </c>
      <c r="B275" s="107" t="s">
        <v>427</v>
      </c>
      <c r="C275" s="106" t="s">
        <v>99</v>
      </c>
      <c r="D275" s="106">
        <v>2</v>
      </c>
    </row>
    <row r="276" spans="1:4" ht="43.15">
      <c r="A276" s="106" t="s">
        <v>428</v>
      </c>
      <c r="B276" s="107" t="s">
        <v>429</v>
      </c>
      <c r="C276" s="106" t="s">
        <v>99</v>
      </c>
      <c r="D276" s="106">
        <v>2</v>
      </c>
    </row>
    <row r="277" spans="1:4" ht="57.6">
      <c r="A277" s="106" t="s">
        <v>428</v>
      </c>
      <c r="B277" s="107" t="s">
        <v>430</v>
      </c>
      <c r="C277" s="106" t="s">
        <v>99</v>
      </c>
      <c r="D277" s="106">
        <v>2</v>
      </c>
    </row>
    <row r="278" spans="1:4" ht="57.6">
      <c r="A278" s="106" t="s">
        <v>428</v>
      </c>
      <c r="B278" s="107" t="s">
        <v>431</v>
      </c>
      <c r="C278" s="106" t="s">
        <v>99</v>
      </c>
      <c r="D278" s="106">
        <v>2</v>
      </c>
    </row>
    <row r="279" spans="1:4" ht="57.6">
      <c r="A279" s="106" t="s">
        <v>428</v>
      </c>
      <c r="B279" s="107" t="s">
        <v>432</v>
      </c>
      <c r="C279" s="106" t="s">
        <v>99</v>
      </c>
      <c r="D279" s="106">
        <v>2</v>
      </c>
    </row>
    <row r="280" spans="1:4" ht="43.15">
      <c r="A280" s="106" t="s">
        <v>428</v>
      </c>
      <c r="B280" s="107" t="s">
        <v>433</v>
      </c>
      <c r="C280" s="106" t="s">
        <v>99</v>
      </c>
      <c r="D280" s="106">
        <v>2</v>
      </c>
    </row>
    <row r="281" spans="1:4" ht="86.45">
      <c r="A281" s="106" t="s">
        <v>428</v>
      </c>
      <c r="B281" s="107" t="s">
        <v>434</v>
      </c>
      <c r="C281" s="106" t="s">
        <v>99</v>
      </c>
      <c r="D281" s="106">
        <v>2</v>
      </c>
    </row>
    <row r="282" spans="1:4" ht="43.15">
      <c r="A282" s="106" t="s">
        <v>435</v>
      </c>
      <c r="B282" s="107" t="s">
        <v>436</v>
      </c>
      <c r="C282" s="106" t="s">
        <v>99</v>
      </c>
      <c r="D282" s="106">
        <v>2</v>
      </c>
    </row>
    <row r="283" spans="1:4" ht="43.15">
      <c r="A283" s="106" t="s">
        <v>435</v>
      </c>
      <c r="B283" s="107" t="s">
        <v>437</v>
      </c>
      <c r="C283" s="106" t="s">
        <v>99</v>
      </c>
      <c r="D283" s="106">
        <v>2</v>
      </c>
    </row>
    <row r="284" spans="1:4" ht="57.6">
      <c r="A284" s="106" t="s">
        <v>435</v>
      </c>
      <c r="B284" s="107" t="s">
        <v>438</v>
      </c>
      <c r="C284" s="106" t="s">
        <v>99</v>
      </c>
      <c r="D284" s="106">
        <v>2</v>
      </c>
    </row>
    <row r="285" spans="1:4" ht="43.15">
      <c r="A285" s="106" t="s">
        <v>435</v>
      </c>
      <c r="B285" s="107" t="s">
        <v>439</v>
      </c>
      <c r="C285" s="106" t="s">
        <v>99</v>
      </c>
      <c r="D285" s="106">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AD2EB-B8D3-463B-B4FC-E6155384201B}">
  <sheetPr codeName="Sheet15"/>
  <dimension ref="A1:J158"/>
  <sheetViews>
    <sheetView workbookViewId="0">
      <selection activeCell="A4" sqref="A4"/>
    </sheetView>
  </sheetViews>
  <sheetFormatPr defaultRowHeight="14.45"/>
  <cols>
    <col min="1" max="1" width="40.42578125" bestFit="1" customWidth="1"/>
    <col min="2" max="2" width="130.7109375" bestFit="1" customWidth="1"/>
    <col min="3" max="3" width="14.7109375" bestFit="1" customWidth="1"/>
    <col min="4" max="4" width="9.140625" bestFit="1" customWidth="1"/>
    <col min="5" max="5" width="11.85546875" bestFit="1" customWidth="1"/>
    <col min="6" max="6" width="20.42578125" bestFit="1" customWidth="1"/>
    <col min="9" max="9" width="14.28515625" bestFit="1" customWidth="1"/>
    <col min="10" max="10" width="15.7109375" bestFit="1" customWidth="1"/>
  </cols>
  <sheetData>
    <row r="1" spans="1:10">
      <c r="A1" s="64" t="s">
        <v>440</v>
      </c>
    </row>
    <row r="2" spans="1:10">
      <c r="I2" s="64" t="s">
        <v>441</v>
      </c>
    </row>
    <row r="3" spans="1:10">
      <c r="A3" s="11" t="s">
        <v>442</v>
      </c>
      <c r="B3" s="11" t="s">
        <v>443</v>
      </c>
      <c r="C3" s="11" t="s">
        <v>444</v>
      </c>
      <c r="D3" s="11" t="s">
        <v>445</v>
      </c>
      <c r="E3" s="11" t="s">
        <v>446</v>
      </c>
      <c r="F3" s="11" t="s">
        <v>447</v>
      </c>
      <c r="I3" s="60" t="s">
        <v>80</v>
      </c>
      <c r="J3" t="s">
        <v>448</v>
      </c>
    </row>
    <row r="4" spans="1:10">
      <c r="A4" s="10" t="s">
        <v>449</v>
      </c>
      <c r="B4" s="1" t="s">
        <v>450</v>
      </c>
      <c r="C4" s="66">
        <v>45846</v>
      </c>
      <c r="D4" s="1" t="s">
        <v>88</v>
      </c>
      <c r="E4" s="1" t="s">
        <v>7</v>
      </c>
      <c r="F4" s="1"/>
      <c r="I4" s="61" t="s">
        <v>7</v>
      </c>
      <c r="J4" s="65"/>
    </row>
    <row r="5" spans="1:10">
      <c r="A5" s="10" t="s">
        <v>449</v>
      </c>
      <c r="B5" s="1" t="s">
        <v>451</v>
      </c>
      <c r="C5" s="66">
        <v>45846</v>
      </c>
      <c r="D5" s="1" t="s">
        <v>88</v>
      </c>
      <c r="E5" s="1" t="s">
        <v>85</v>
      </c>
      <c r="F5" s="1"/>
      <c r="I5" s="62" t="s">
        <v>452</v>
      </c>
      <c r="J5" s="65"/>
    </row>
    <row r="6" spans="1:10">
      <c r="A6" s="10" t="s">
        <v>449</v>
      </c>
      <c r="B6" s="1" t="s">
        <v>451</v>
      </c>
      <c r="C6" s="66">
        <v>45846</v>
      </c>
      <c r="D6" s="1" t="s">
        <v>88</v>
      </c>
      <c r="E6" s="1" t="s">
        <v>84</v>
      </c>
      <c r="F6" s="1"/>
      <c r="I6" s="61" t="s">
        <v>83</v>
      </c>
      <c r="J6" s="65">
        <v>0</v>
      </c>
    </row>
    <row r="7" spans="1:10">
      <c r="A7" s="10" t="s">
        <v>449</v>
      </c>
      <c r="B7" s="1" t="s">
        <v>451</v>
      </c>
      <c r="C7" s="66">
        <v>45846</v>
      </c>
      <c r="D7" s="1" t="s">
        <v>88</v>
      </c>
      <c r="E7" s="1" t="s">
        <v>7</v>
      </c>
      <c r="F7" s="1"/>
      <c r="I7" s="62" t="s">
        <v>452</v>
      </c>
      <c r="J7" s="65">
        <v>0</v>
      </c>
    </row>
    <row r="8" spans="1:10">
      <c r="A8" s="10" t="s">
        <v>449</v>
      </c>
      <c r="B8" s="1" t="s">
        <v>453</v>
      </c>
      <c r="C8" s="66">
        <v>45846</v>
      </c>
      <c r="D8" s="1" t="s">
        <v>88</v>
      </c>
      <c r="E8" s="1" t="s">
        <v>85</v>
      </c>
      <c r="F8" s="1"/>
      <c r="I8" s="61" t="s">
        <v>84</v>
      </c>
      <c r="J8" s="65"/>
    </row>
    <row r="9" spans="1:10">
      <c r="A9" s="10" t="s">
        <v>449</v>
      </c>
      <c r="B9" s="1" t="s">
        <v>453</v>
      </c>
      <c r="C9" s="66">
        <v>45846</v>
      </c>
      <c r="D9" s="1" t="s">
        <v>88</v>
      </c>
      <c r="E9" s="1" t="s">
        <v>84</v>
      </c>
      <c r="F9" s="1"/>
      <c r="I9" s="62" t="s">
        <v>452</v>
      </c>
      <c r="J9" s="65"/>
    </row>
    <row r="10" spans="1:10">
      <c r="A10" s="10" t="s">
        <v>449</v>
      </c>
      <c r="B10" s="1" t="s">
        <v>453</v>
      </c>
      <c r="C10" s="66">
        <v>45846</v>
      </c>
      <c r="D10" s="1" t="s">
        <v>88</v>
      </c>
      <c r="E10" s="1" t="s">
        <v>7</v>
      </c>
      <c r="F10" s="1"/>
      <c r="I10" s="61" t="s">
        <v>85</v>
      </c>
      <c r="J10" s="65">
        <v>7</v>
      </c>
    </row>
    <row r="11" spans="1:10">
      <c r="A11" s="10" t="s">
        <v>449</v>
      </c>
      <c r="B11" s="1" t="s">
        <v>454</v>
      </c>
      <c r="C11" s="66">
        <v>45846</v>
      </c>
      <c r="D11" s="1" t="s">
        <v>88</v>
      </c>
      <c r="E11" s="1" t="s">
        <v>85</v>
      </c>
      <c r="F11" s="1"/>
      <c r="I11" s="62" t="s">
        <v>452</v>
      </c>
      <c r="J11" s="65">
        <v>7</v>
      </c>
    </row>
    <row r="12" spans="1:10">
      <c r="A12" s="10" t="s">
        <v>449</v>
      </c>
      <c r="B12" s="1" t="s">
        <v>454</v>
      </c>
      <c r="C12" s="66">
        <v>45846</v>
      </c>
      <c r="D12" s="1" t="s">
        <v>88</v>
      </c>
      <c r="E12" s="1" t="s">
        <v>84</v>
      </c>
      <c r="F12" s="1"/>
      <c r="I12" s="61" t="s">
        <v>452</v>
      </c>
      <c r="J12" s="65"/>
    </row>
    <row r="13" spans="1:10">
      <c r="A13" s="10" t="s">
        <v>449</v>
      </c>
      <c r="B13" s="1" t="s">
        <v>454</v>
      </c>
      <c r="C13" s="66">
        <v>45846</v>
      </c>
      <c r="D13" s="1" t="s">
        <v>88</v>
      </c>
      <c r="E13" s="1" t="s">
        <v>7</v>
      </c>
      <c r="F13" s="1"/>
      <c r="I13" s="62" t="s">
        <v>452</v>
      </c>
      <c r="J13" s="65"/>
    </row>
    <row r="14" spans="1:10">
      <c r="A14" s="10" t="s">
        <v>455</v>
      </c>
      <c r="B14" s="1" t="s">
        <v>456</v>
      </c>
      <c r="C14" s="66">
        <v>45846</v>
      </c>
      <c r="D14" s="1" t="s">
        <v>88</v>
      </c>
      <c r="E14" s="1" t="s">
        <v>85</v>
      </c>
      <c r="F14" s="1"/>
      <c r="I14" s="61" t="s">
        <v>86</v>
      </c>
      <c r="J14" s="65">
        <v>0.15555555555555556</v>
      </c>
    </row>
    <row r="15" spans="1:10">
      <c r="A15" s="10" t="s">
        <v>455</v>
      </c>
      <c r="B15" s="1" t="s">
        <v>456</v>
      </c>
      <c r="C15" s="66">
        <v>45846</v>
      </c>
      <c r="D15" s="1" t="s">
        <v>88</v>
      </c>
      <c r="E15" s="1" t="s">
        <v>84</v>
      </c>
      <c r="F15" s="1"/>
    </row>
    <row r="16" spans="1:10">
      <c r="A16" s="10" t="s">
        <v>455</v>
      </c>
      <c r="B16" s="1" t="s">
        <v>456</v>
      </c>
      <c r="C16" s="66">
        <v>45846</v>
      </c>
      <c r="D16" s="1" t="s">
        <v>88</v>
      </c>
      <c r="E16" s="1" t="s">
        <v>7</v>
      </c>
      <c r="F16" s="1"/>
    </row>
    <row r="17" spans="1:6">
      <c r="A17" s="10" t="s">
        <v>455</v>
      </c>
      <c r="B17" s="1" t="s">
        <v>457</v>
      </c>
      <c r="C17" s="66">
        <v>45846</v>
      </c>
      <c r="D17" s="1" t="s">
        <v>88</v>
      </c>
      <c r="E17" s="1" t="s">
        <v>85</v>
      </c>
      <c r="F17" s="1"/>
    </row>
    <row r="18" spans="1:6">
      <c r="A18" s="10" t="s">
        <v>455</v>
      </c>
      <c r="B18" s="1" t="s">
        <v>457</v>
      </c>
      <c r="C18" s="66">
        <v>45846</v>
      </c>
      <c r="D18" s="1" t="s">
        <v>88</v>
      </c>
      <c r="E18" s="1" t="s">
        <v>84</v>
      </c>
      <c r="F18" s="1"/>
    </row>
    <row r="19" spans="1:6">
      <c r="A19" s="10" t="s">
        <v>455</v>
      </c>
      <c r="B19" s="1" t="s">
        <v>458</v>
      </c>
      <c r="C19" s="66">
        <v>45846</v>
      </c>
      <c r="D19" s="1" t="s">
        <v>88</v>
      </c>
      <c r="E19" s="1" t="s">
        <v>85</v>
      </c>
      <c r="F19" s="1"/>
    </row>
    <row r="20" spans="1:6">
      <c r="A20" s="10" t="s">
        <v>455</v>
      </c>
      <c r="B20" s="1" t="s">
        <v>458</v>
      </c>
      <c r="C20" s="66">
        <v>45846</v>
      </c>
      <c r="D20" s="1" t="s">
        <v>88</v>
      </c>
      <c r="E20" s="1" t="s">
        <v>84</v>
      </c>
      <c r="F20" s="1"/>
    </row>
    <row r="21" spans="1:6">
      <c r="A21" s="10" t="s">
        <v>455</v>
      </c>
      <c r="B21" s="1" t="s">
        <v>459</v>
      </c>
      <c r="C21" s="66">
        <v>45846</v>
      </c>
      <c r="D21" s="1" t="s">
        <v>88</v>
      </c>
      <c r="E21" s="1" t="s">
        <v>85</v>
      </c>
      <c r="F21" s="1"/>
    </row>
    <row r="22" spans="1:6">
      <c r="A22" s="10" t="s">
        <v>455</v>
      </c>
      <c r="B22" s="1" t="s">
        <v>459</v>
      </c>
      <c r="C22" s="66">
        <v>45846</v>
      </c>
      <c r="D22" s="1" t="s">
        <v>88</v>
      </c>
      <c r="E22" s="1" t="s">
        <v>84</v>
      </c>
      <c r="F22" s="1"/>
    </row>
    <row r="23" spans="1:6">
      <c r="A23" s="10" t="s">
        <v>455</v>
      </c>
      <c r="B23" s="1" t="s">
        <v>460</v>
      </c>
      <c r="C23" s="66">
        <v>45846</v>
      </c>
      <c r="D23" s="1" t="s">
        <v>88</v>
      </c>
      <c r="E23" s="1" t="s">
        <v>7</v>
      </c>
      <c r="F23" s="1"/>
    </row>
    <row r="24" spans="1:6">
      <c r="A24" s="10" t="s">
        <v>461</v>
      </c>
      <c r="B24" s="1" t="s">
        <v>462</v>
      </c>
      <c r="C24" s="66">
        <v>45846</v>
      </c>
      <c r="D24" s="1" t="s">
        <v>88</v>
      </c>
      <c r="E24" s="1" t="s">
        <v>7</v>
      </c>
      <c r="F24" s="1"/>
    </row>
    <row r="25" spans="1:6">
      <c r="A25" s="10" t="s">
        <v>463</v>
      </c>
      <c r="B25" s="1" t="s">
        <v>464</v>
      </c>
      <c r="C25" s="66">
        <v>45846</v>
      </c>
      <c r="D25" s="1" t="s">
        <v>88</v>
      </c>
      <c r="E25" s="1" t="s">
        <v>7</v>
      </c>
      <c r="F25" s="1"/>
    </row>
    <row r="26" spans="1:6">
      <c r="A26" s="10" t="s">
        <v>463</v>
      </c>
      <c r="B26" s="1" t="s">
        <v>465</v>
      </c>
      <c r="C26" s="66">
        <v>45846</v>
      </c>
      <c r="D26" s="1" t="s">
        <v>88</v>
      </c>
      <c r="E26" s="1" t="s">
        <v>7</v>
      </c>
      <c r="F26" s="1"/>
    </row>
    <row r="27" spans="1:6">
      <c r="A27" s="10" t="s">
        <v>463</v>
      </c>
      <c r="B27" s="1" t="s">
        <v>466</v>
      </c>
      <c r="C27" s="66">
        <v>45846</v>
      </c>
      <c r="D27" s="1" t="s">
        <v>88</v>
      </c>
      <c r="E27" s="1" t="s">
        <v>7</v>
      </c>
      <c r="F27" s="1"/>
    </row>
    <row r="28" spans="1:6">
      <c r="A28" s="10" t="s">
        <v>463</v>
      </c>
      <c r="B28" s="1" t="s">
        <v>467</v>
      </c>
      <c r="C28" s="66">
        <v>45846</v>
      </c>
      <c r="D28" s="1" t="s">
        <v>88</v>
      </c>
      <c r="E28" s="1" t="s">
        <v>7</v>
      </c>
      <c r="F28" s="1"/>
    </row>
    <row r="29" spans="1:6">
      <c r="A29" s="10" t="s">
        <v>463</v>
      </c>
      <c r="B29" s="1" t="s">
        <v>468</v>
      </c>
      <c r="C29" s="66">
        <v>45846</v>
      </c>
      <c r="D29" s="1" t="s">
        <v>88</v>
      </c>
      <c r="E29" s="1" t="s">
        <v>7</v>
      </c>
      <c r="F29" s="1"/>
    </row>
    <row r="30" spans="1:6">
      <c r="A30" s="10" t="s">
        <v>469</v>
      </c>
      <c r="B30" s="1" t="s">
        <v>470</v>
      </c>
      <c r="C30" s="66">
        <v>45846</v>
      </c>
      <c r="D30" s="1" t="s">
        <v>88</v>
      </c>
      <c r="E30" s="1" t="s">
        <v>7</v>
      </c>
      <c r="F30" s="1"/>
    </row>
    <row r="31" spans="1:6">
      <c r="A31" s="10" t="s">
        <v>469</v>
      </c>
      <c r="B31" s="1" t="s">
        <v>471</v>
      </c>
      <c r="C31" s="66">
        <v>45846</v>
      </c>
      <c r="D31" s="1" t="s">
        <v>88</v>
      </c>
      <c r="E31" s="1" t="s">
        <v>7</v>
      </c>
      <c r="F31" s="1"/>
    </row>
    <row r="32" spans="1:6">
      <c r="A32" s="10" t="s">
        <v>469</v>
      </c>
      <c r="B32" s="1" t="s">
        <v>472</v>
      </c>
      <c r="C32" s="66">
        <v>45846</v>
      </c>
      <c r="D32" s="1" t="s">
        <v>88</v>
      </c>
      <c r="E32" s="1" t="s">
        <v>7</v>
      </c>
      <c r="F32" s="1"/>
    </row>
    <row r="33" spans="1:6">
      <c r="A33" s="10" t="s">
        <v>473</v>
      </c>
      <c r="B33" s="1" t="s">
        <v>474</v>
      </c>
      <c r="C33" s="66">
        <v>45846</v>
      </c>
      <c r="D33" s="1" t="s">
        <v>88</v>
      </c>
      <c r="E33" s="1" t="s">
        <v>7</v>
      </c>
      <c r="F33" s="1"/>
    </row>
    <row r="34" spans="1:6">
      <c r="A34" s="10" t="s">
        <v>475</v>
      </c>
      <c r="B34" s="1" t="s">
        <v>476</v>
      </c>
      <c r="C34" s="66">
        <v>45846</v>
      </c>
      <c r="D34" s="1" t="s">
        <v>88</v>
      </c>
      <c r="E34" s="1" t="s">
        <v>7</v>
      </c>
      <c r="F34" s="1"/>
    </row>
    <row r="35" spans="1:6">
      <c r="A35" s="10" t="s">
        <v>477</v>
      </c>
      <c r="B35" s="1" t="s">
        <v>478</v>
      </c>
      <c r="C35" s="66">
        <v>45846</v>
      </c>
      <c r="D35" s="1" t="s">
        <v>88</v>
      </c>
      <c r="E35" s="1" t="s">
        <v>85</v>
      </c>
      <c r="F35" s="1"/>
    </row>
    <row r="36" spans="1:6">
      <c r="A36" s="10" t="s">
        <v>477</v>
      </c>
      <c r="B36" s="1" t="s">
        <v>478</v>
      </c>
      <c r="C36" s="66">
        <v>45846</v>
      </c>
      <c r="D36" s="1" t="s">
        <v>88</v>
      </c>
      <c r="E36" s="1" t="s">
        <v>7</v>
      </c>
      <c r="F36" s="1"/>
    </row>
    <row r="37" spans="1:6">
      <c r="A37" s="10" t="s">
        <v>479</v>
      </c>
      <c r="B37" s="1" t="s">
        <v>480</v>
      </c>
      <c r="C37" s="66">
        <v>45846</v>
      </c>
      <c r="D37" s="1" t="s">
        <v>88</v>
      </c>
      <c r="E37" s="1" t="s">
        <v>7</v>
      </c>
      <c r="F37" s="1"/>
    </row>
    <row r="38" spans="1:6">
      <c r="A38" s="10" t="s">
        <v>479</v>
      </c>
      <c r="B38" s="1" t="s">
        <v>481</v>
      </c>
      <c r="C38" s="66">
        <v>45846</v>
      </c>
      <c r="D38" s="1" t="s">
        <v>88</v>
      </c>
      <c r="E38" s="1" t="s">
        <v>84</v>
      </c>
      <c r="F38" s="1"/>
    </row>
    <row r="39" spans="1:6">
      <c r="A39" s="10" t="s">
        <v>479</v>
      </c>
      <c r="B39" s="1" t="s">
        <v>481</v>
      </c>
      <c r="C39" s="66">
        <v>45846</v>
      </c>
      <c r="D39" s="1" t="s">
        <v>88</v>
      </c>
      <c r="E39" s="1" t="s">
        <v>7</v>
      </c>
      <c r="F39" s="1"/>
    </row>
    <row r="40" spans="1:6">
      <c r="A40" s="10" t="s">
        <v>479</v>
      </c>
      <c r="B40" s="1" t="s">
        <v>482</v>
      </c>
      <c r="C40" s="66">
        <v>45846</v>
      </c>
      <c r="D40" s="1" t="s">
        <v>88</v>
      </c>
      <c r="E40" s="1" t="s">
        <v>7</v>
      </c>
      <c r="F40" s="1"/>
    </row>
    <row r="41" spans="1:6">
      <c r="A41" s="10" t="s">
        <v>479</v>
      </c>
      <c r="B41" s="1" t="s">
        <v>483</v>
      </c>
      <c r="C41" s="66">
        <v>45846</v>
      </c>
      <c r="D41" s="1" t="s">
        <v>88</v>
      </c>
      <c r="E41" s="1" t="s">
        <v>84</v>
      </c>
      <c r="F41" s="1"/>
    </row>
    <row r="42" spans="1:6">
      <c r="A42" s="10" t="s">
        <v>479</v>
      </c>
      <c r="B42" s="1" t="s">
        <v>483</v>
      </c>
      <c r="C42" s="66">
        <v>45846</v>
      </c>
      <c r="D42" s="1" t="s">
        <v>88</v>
      </c>
      <c r="E42" s="1" t="s">
        <v>7</v>
      </c>
      <c r="F42" s="1"/>
    </row>
    <row r="43" spans="1:6">
      <c r="A43" s="10" t="s">
        <v>479</v>
      </c>
      <c r="B43" s="1" t="s">
        <v>484</v>
      </c>
      <c r="C43" s="66">
        <v>45846</v>
      </c>
      <c r="D43" s="1" t="s">
        <v>88</v>
      </c>
      <c r="E43" s="1" t="s">
        <v>7</v>
      </c>
      <c r="F43" s="1"/>
    </row>
    <row r="44" spans="1:6">
      <c r="A44" s="10" t="s">
        <v>479</v>
      </c>
      <c r="B44" s="1" t="s">
        <v>485</v>
      </c>
      <c r="C44" s="66">
        <v>45846</v>
      </c>
      <c r="D44" s="1" t="s">
        <v>88</v>
      </c>
      <c r="E44" s="1" t="s">
        <v>84</v>
      </c>
      <c r="F44" s="1"/>
    </row>
    <row r="45" spans="1:6">
      <c r="A45" s="10" t="s">
        <v>479</v>
      </c>
      <c r="B45" s="1" t="s">
        <v>485</v>
      </c>
      <c r="C45" s="66">
        <v>45846</v>
      </c>
      <c r="D45" s="1" t="s">
        <v>88</v>
      </c>
      <c r="E45" s="1" t="s">
        <v>7</v>
      </c>
      <c r="F45" s="1"/>
    </row>
    <row r="46" spans="1:6">
      <c r="A46" s="10" t="s">
        <v>486</v>
      </c>
      <c r="B46" s="1" t="s">
        <v>487</v>
      </c>
      <c r="C46" s="66">
        <v>45846</v>
      </c>
      <c r="D46" s="1" t="s">
        <v>88</v>
      </c>
      <c r="E46" s="1" t="s">
        <v>7</v>
      </c>
      <c r="F46" s="1"/>
    </row>
    <row r="47" spans="1:6">
      <c r="A47" s="10" t="s">
        <v>486</v>
      </c>
      <c r="B47" s="1" t="s">
        <v>488</v>
      </c>
      <c r="C47" s="66">
        <v>45846</v>
      </c>
      <c r="D47" s="1" t="s">
        <v>88</v>
      </c>
      <c r="E47" s="1" t="s">
        <v>7</v>
      </c>
      <c r="F47" s="1"/>
    </row>
    <row r="48" spans="1:6">
      <c r="A48" s="10" t="s">
        <v>486</v>
      </c>
      <c r="B48" s="1" t="s">
        <v>489</v>
      </c>
      <c r="C48" s="66">
        <v>45846</v>
      </c>
      <c r="D48" s="1" t="s">
        <v>88</v>
      </c>
      <c r="E48" s="1" t="s">
        <v>85</v>
      </c>
      <c r="F48" s="1"/>
    </row>
    <row r="49" spans="1:6">
      <c r="A49" s="10" t="s">
        <v>486</v>
      </c>
      <c r="B49" s="1" t="s">
        <v>489</v>
      </c>
      <c r="C49" s="66">
        <v>45846</v>
      </c>
      <c r="D49" s="1" t="s">
        <v>88</v>
      </c>
      <c r="E49" s="1" t="s">
        <v>84</v>
      </c>
      <c r="F49" s="1"/>
    </row>
    <row r="50" spans="1:6">
      <c r="A50" s="10" t="s">
        <v>486</v>
      </c>
      <c r="B50" s="1" t="s">
        <v>489</v>
      </c>
      <c r="C50" s="66">
        <v>45846</v>
      </c>
      <c r="D50" s="1" t="s">
        <v>88</v>
      </c>
      <c r="E50" s="1" t="s">
        <v>7</v>
      </c>
      <c r="F50" s="1"/>
    </row>
    <row r="51" spans="1:6">
      <c r="A51" s="10" t="s">
        <v>490</v>
      </c>
      <c r="B51" s="1" t="s">
        <v>491</v>
      </c>
      <c r="C51" s="66">
        <v>45846</v>
      </c>
      <c r="D51" s="1" t="s">
        <v>88</v>
      </c>
      <c r="E51" s="1" t="s">
        <v>84</v>
      </c>
      <c r="F51" s="1"/>
    </row>
    <row r="52" spans="1:6">
      <c r="A52" s="10" t="s">
        <v>490</v>
      </c>
      <c r="B52" s="1" t="s">
        <v>492</v>
      </c>
      <c r="C52" s="66">
        <v>45846</v>
      </c>
      <c r="D52" s="1" t="s">
        <v>88</v>
      </c>
      <c r="E52" s="1" t="s">
        <v>85</v>
      </c>
      <c r="F52" s="1"/>
    </row>
    <row r="53" spans="1:6">
      <c r="A53" s="10" t="s">
        <v>490</v>
      </c>
      <c r="B53" s="1" t="s">
        <v>492</v>
      </c>
      <c r="C53" s="66">
        <v>45846</v>
      </c>
      <c r="D53" s="1" t="s">
        <v>88</v>
      </c>
      <c r="E53" s="1" t="s">
        <v>84</v>
      </c>
      <c r="F53" s="1"/>
    </row>
    <row r="54" spans="1:6">
      <c r="A54" s="10" t="s">
        <v>490</v>
      </c>
      <c r="B54" s="1" t="s">
        <v>492</v>
      </c>
      <c r="C54" s="66">
        <v>45846</v>
      </c>
      <c r="D54" s="1" t="s">
        <v>88</v>
      </c>
      <c r="E54" s="1" t="s">
        <v>7</v>
      </c>
      <c r="F54" s="1"/>
    </row>
    <row r="55" spans="1:6">
      <c r="A55" s="10" t="s">
        <v>490</v>
      </c>
      <c r="B55" s="1" t="s">
        <v>493</v>
      </c>
      <c r="C55" s="66">
        <v>45846</v>
      </c>
      <c r="D55" s="1" t="s">
        <v>88</v>
      </c>
      <c r="E55" s="1" t="s">
        <v>84</v>
      </c>
      <c r="F55" s="1"/>
    </row>
    <row r="56" spans="1:6">
      <c r="A56" s="10" t="s">
        <v>494</v>
      </c>
      <c r="B56" s="1" t="s">
        <v>495</v>
      </c>
      <c r="C56" s="66">
        <v>45846</v>
      </c>
      <c r="D56" s="1" t="s">
        <v>88</v>
      </c>
      <c r="E56" s="1" t="s">
        <v>85</v>
      </c>
      <c r="F56" s="1"/>
    </row>
    <row r="57" spans="1:6">
      <c r="A57" s="10" t="s">
        <v>494</v>
      </c>
      <c r="B57" s="1" t="s">
        <v>495</v>
      </c>
      <c r="C57" s="66">
        <v>45846</v>
      </c>
      <c r="D57" s="1" t="s">
        <v>88</v>
      </c>
      <c r="E57" s="1" t="s">
        <v>84</v>
      </c>
      <c r="F57" s="1"/>
    </row>
    <row r="58" spans="1:6">
      <c r="A58" s="10" t="s">
        <v>494</v>
      </c>
      <c r="B58" s="1" t="s">
        <v>495</v>
      </c>
      <c r="C58" s="66">
        <v>45846</v>
      </c>
      <c r="D58" s="1" t="s">
        <v>88</v>
      </c>
      <c r="E58" s="1" t="s">
        <v>7</v>
      </c>
      <c r="F58" s="1"/>
    </row>
    <row r="59" spans="1:6">
      <c r="A59" s="10" t="s">
        <v>496</v>
      </c>
      <c r="B59" s="1" t="s">
        <v>497</v>
      </c>
      <c r="C59" s="66">
        <v>45846</v>
      </c>
      <c r="D59" s="1" t="s">
        <v>88</v>
      </c>
      <c r="E59" s="1" t="s">
        <v>84</v>
      </c>
      <c r="F59" s="1"/>
    </row>
    <row r="60" spans="1:6">
      <c r="A60" s="10" t="s">
        <v>498</v>
      </c>
      <c r="B60" s="1" t="s">
        <v>499</v>
      </c>
      <c r="C60" s="66">
        <v>45846</v>
      </c>
      <c r="D60" s="1" t="s">
        <v>88</v>
      </c>
      <c r="E60" s="1" t="s">
        <v>84</v>
      </c>
      <c r="F60" s="1"/>
    </row>
    <row r="61" spans="1:6">
      <c r="A61" s="10" t="s">
        <v>500</v>
      </c>
      <c r="B61" s="1" t="s">
        <v>501</v>
      </c>
      <c r="C61" s="66">
        <v>45846</v>
      </c>
      <c r="D61" s="1" t="s">
        <v>88</v>
      </c>
      <c r="E61" s="1" t="s">
        <v>85</v>
      </c>
      <c r="F61" s="1"/>
    </row>
    <row r="62" spans="1:6">
      <c r="A62" s="10" t="s">
        <v>502</v>
      </c>
      <c r="B62" s="1" t="s">
        <v>503</v>
      </c>
      <c r="C62" s="66">
        <v>45846</v>
      </c>
      <c r="D62" s="1" t="s">
        <v>88</v>
      </c>
      <c r="E62" s="1" t="s">
        <v>7</v>
      </c>
      <c r="F62" s="1"/>
    </row>
    <row r="63" spans="1:6">
      <c r="A63" s="10" t="s">
        <v>504</v>
      </c>
      <c r="B63" s="1" t="s">
        <v>505</v>
      </c>
      <c r="C63" s="66">
        <v>45846</v>
      </c>
      <c r="D63" s="1" t="s">
        <v>88</v>
      </c>
      <c r="E63" s="1" t="s">
        <v>85</v>
      </c>
      <c r="F63" s="1"/>
    </row>
    <row r="64" spans="1:6">
      <c r="A64" s="10" t="s">
        <v>504</v>
      </c>
      <c r="B64" s="1" t="s">
        <v>505</v>
      </c>
      <c r="C64" s="66">
        <v>45846</v>
      </c>
      <c r="D64" s="1" t="s">
        <v>88</v>
      </c>
      <c r="E64" s="1" t="s">
        <v>7</v>
      </c>
      <c r="F64" s="1"/>
    </row>
    <row r="65" spans="1:6">
      <c r="A65" s="10" t="s">
        <v>506</v>
      </c>
      <c r="B65" s="1" t="s">
        <v>507</v>
      </c>
      <c r="C65" s="66">
        <v>45846</v>
      </c>
      <c r="D65" s="1" t="s">
        <v>88</v>
      </c>
      <c r="E65" s="1" t="s">
        <v>85</v>
      </c>
      <c r="F65" s="1"/>
    </row>
    <row r="66" spans="1:6">
      <c r="A66" s="10" t="s">
        <v>508</v>
      </c>
      <c r="B66" s="1" t="s">
        <v>509</v>
      </c>
      <c r="C66" s="66">
        <v>45846</v>
      </c>
      <c r="D66" s="1" t="s">
        <v>88</v>
      </c>
      <c r="E66" s="1" t="s">
        <v>84</v>
      </c>
      <c r="F66" s="1"/>
    </row>
    <row r="67" spans="1:6">
      <c r="A67" s="10" t="s">
        <v>508</v>
      </c>
      <c r="B67" s="1" t="s">
        <v>509</v>
      </c>
      <c r="C67" s="66">
        <v>45846</v>
      </c>
      <c r="D67" s="1" t="s">
        <v>88</v>
      </c>
      <c r="E67" s="1" t="s">
        <v>7</v>
      </c>
      <c r="F67" s="1"/>
    </row>
    <row r="68" spans="1:6">
      <c r="A68" s="10" t="s">
        <v>508</v>
      </c>
      <c r="B68" s="1" t="s">
        <v>510</v>
      </c>
      <c r="C68" s="66">
        <v>45846</v>
      </c>
      <c r="D68" s="1" t="s">
        <v>88</v>
      </c>
      <c r="E68" s="1" t="s">
        <v>84</v>
      </c>
      <c r="F68" s="1"/>
    </row>
    <row r="69" spans="1:6">
      <c r="A69" s="10" t="s">
        <v>508</v>
      </c>
      <c r="B69" s="1" t="s">
        <v>511</v>
      </c>
      <c r="C69" s="66">
        <v>45846</v>
      </c>
      <c r="D69" s="1" t="s">
        <v>88</v>
      </c>
      <c r="E69" s="1" t="s">
        <v>7</v>
      </c>
      <c r="F69" s="1"/>
    </row>
    <row r="70" spans="1:6">
      <c r="A70" s="10" t="s">
        <v>512</v>
      </c>
      <c r="B70" s="1" t="s">
        <v>513</v>
      </c>
      <c r="C70" s="66">
        <v>45846</v>
      </c>
      <c r="D70" s="1" t="s">
        <v>88</v>
      </c>
      <c r="E70" s="1" t="s">
        <v>7</v>
      </c>
      <c r="F70" s="1"/>
    </row>
    <row r="71" spans="1:6">
      <c r="A71" s="10" t="s">
        <v>512</v>
      </c>
      <c r="B71" s="1" t="s">
        <v>514</v>
      </c>
      <c r="C71" s="66">
        <v>45846</v>
      </c>
      <c r="D71" s="1" t="s">
        <v>88</v>
      </c>
      <c r="E71" s="1" t="s">
        <v>84</v>
      </c>
      <c r="F71" s="1"/>
    </row>
    <row r="72" spans="1:6">
      <c r="A72" s="10" t="s">
        <v>512</v>
      </c>
      <c r="B72" s="1" t="s">
        <v>515</v>
      </c>
      <c r="C72" s="66">
        <v>45846</v>
      </c>
      <c r="D72" s="1" t="s">
        <v>88</v>
      </c>
      <c r="E72" s="1" t="s">
        <v>7</v>
      </c>
      <c r="F72" s="1"/>
    </row>
    <row r="73" spans="1:6">
      <c r="A73" s="10" t="s">
        <v>512</v>
      </c>
      <c r="B73" s="1" t="s">
        <v>516</v>
      </c>
      <c r="C73" s="66">
        <v>45846</v>
      </c>
      <c r="D73" s="1" t="s">
        <v>88</v>
      </c>
      <c r="E73" s="1" t="s">
        <v>7</v>
      </c>
      <c r="F73" s="1"/>
    </row>
    <row r="74" spans="1:6">
      <c r="A74" s="10" t="s">
        <v>512</v>
      </c>
      <c r="B74" s="1" t="s">
        <v>517</v>
      </c>
      <c r="C74" s="66">
        <v>45846</v>
      </c>
      <c r="D74" s="1" t="s">
        <v>88</v>
      </c>
      <c r="E74" s="1" t="s">
        <v>7</v>
      </c>
      <c r="F74" s="1"/>
    </row>
    <row r="75" spans="1:6">
      <c r="A75" s="10" t="s">
        <v>512</v>
      </c>
      <c r="B75" s="1" t="s">
        <v>518</v>
      </c>
      <c r="C75" s="66">
        <v>45846</v>
      </c>
      <c r="D75" s="1" t="s">
        <v>88</v>
      </c>
      <c r="E75" s="1" t="s">
        <v>7</v>
      </c>
      <c r="F75" s="1"/>
    </row>
    <row r="76" spans="1:6">
      <c r="A76" s="10" t="s">
        <v>512</v>
      </c>
      <c r="B76" s="1" t="s">
        <v>519</v>
      </c>
      <c r="C76" s="66">
        <v>45846</v>
      </c>
      <c r="D76" s="1" t="s">
        <v>88</v>
      </c>
      <c r="E76" s="1" t="s">
        <v>7</v>
      </c>
      <c r="F76" s="1"/>
    </row>
    <row r="77" spans="1:6">
      <c r="A77" s="10" t="s">
        <v>512</v>
      </c>
      <c r="B77" s="1" t="s">
        <v>520</v>
      </c>
      <c r="C77" s="66">
        <v>45846</v>
      </c>
      <c r="D77" s="1" t="s">
        <v>88</v>
      </c>
      <c r="E77" s="1" t="s">
        <v>84</v>
      </c>
      <c r="F77" s="1"/>
    </row>
    <row r="78" spans="1:6">
      <c r="A78" s="10" t="s">
        <v>512</v>
      </c>
      <c r="B78" s="1" t="s">
        <v>520</v>
      </c>
      <c r="C78" s="66">
        <v>45846</v>
      </c>
      <c r="D78" s="1" t="s">
        <v>88</v>
      </c>
      <c r="E78" s="1" t="s">
        <v>7</v>
      </c>
      <c r="F78" s="1"/>
    </row>
    <row r="79" spans="1:6">
      <c r="A79" s="10" t="s">
        <v>512</v>
      </c>
      <c r="B79" s="1" t="s">
        <v>521</v>
      </c>
      <c r="C79" s="66">
        <v>45846</v>
      </c>
      <c r="D79" s="1" t="s">
        <v>88</v>
      </c>
      <c r="E79" s="1" t="s">
        <v>7</v>
      </c>
      <c r="F79" s="1"/>
    </row>
    <row r="80" spans="1:6">
      <c r="A80" s="10" t="s">
        <v>512</v>
      </c>
      <c r="B80" s="1" t="s">
        <v>522</v>
      </c>
      <c r="C80" s="66">
        <v>45846</v>
      </c>
      <c r="D80" s="1" t="s">
        <v>88</v>
      </c>
      <c r="E80" s="1" t="s">
        <v>7</v>
      </c>
      <c r="F80" s="1"/>
    </row>
    <row r="81" spans="1:6">
      <c r="A81" s="10" t="s">
        <v>523</v>
      </c>
      <c r="B81" s="1" t="s">
        <v>524</v>
      </c>
      <c r="C81" s="66">
        <v>45846</v>
      </c>
      <c r="D81" s="1" t="s">
        <v>88</v>
      </c>
      <c r="E81" s="1" t="s">
        <v>7</v>
      </c>
      <c r="F81" s="1"/>
    </row>
    <row r="82" spans="1:6">
      <c r="A82" s="10" t="s">
        <v>525</v>
      </c>
      <c r="B82" s="1" t="s">
        <v>526</v>
      </c>
      <c r="C82" s="66">
        <v>45846</v>
      </c>
      <c r="D82" s="1" t="s">
        <v>88</v>
      </c>
      <c r="E82" s="1" t="s">
        <v>85</v>
      </c>
      <c r="F82" s="1"/>
    </row>
    <row r="83" spans="1:6">
      <c r="A83" s="10" t="s">
        <v>525</v>
      </c>
      <c r="B83" s="1" t="s">
        <v>526</v>
      </c>
      <c r="C83" s="66">
        <v>45846</v>
      </c>
      <c r="D83" s="1" t="s">
        <v>88</v>
      </c>
      <c r="E83" s="1" t="s">
        <v>84</v>
      </c>
      <c r="F83" s="1"/>
    </row>
    <row r="84" spans="1:6">
      <c r="A84" s="10" t="s">
        <v>527</v>
      </c>
      <c r="B84" s="1" t="s">
        <v>528</v>
      </c>
      <c r="C84" s="66">
        <v>45846</v>
      </c>
      <c r="D84" s="1" t="s">
        <v>88</v>
      </c>
      <c r="E84" s="1" t="s">
        <v>7</v>
      </c>
      <c r="F84" s="1"/>
    </row>
    <row r="85" spans="1:6">
      <c r="A85" s="10" t="s">
        <v>527</v>
      </c>
      <c r="B85" s="1" t="s">
        <v>529</v>
      </c>
      <c r="C85" s="66">
        <v>45846</v>
      </c>
      <c r="D85" s="1" t="s">
        <v>88</v>
      </c>
      <c r="E85" s="1" t="s">
        <v>85</v>
      </c>
      <c r="F85" s="1"/>
    </row>
    <row r="86" spans="1:6">
      <c r="A86" s="10" t="s">
        <v>527</v>
      </c>
      <c r="B86" s="1" t="s">
        <v>529</v>
      </c>
      <c r="C86" s="66">
        <v>45846</v>
      </c>
      <c r="D86" s="1" t="s">
        <v>88</v>
      </c>
      <c r="E86" s="1" t="s">
        <v>84</v>
      </c>
      <c r="F86" s="1"/>
    </row>
    <row r="87" spans="1:6">
      <c r="A87" s="10" t="s">
        <v>527</v>
      </c>
      <c r="B87" s="1" t="s">
        <v>530</v>
      </c>
      <c r="C87" s="66">
        <v>45846</v>
      </c>
      <c r="D87" s="1" t="s">
        <v>88</v>
      </c>
      <c r="E87" s="1" t="s">
        <v>85</v>
      </c>
      <c r="F87" s="1"/>
    </row>
    <row r="88" spans="1:6">
      <c r="A88" s="10" t="s">
        <v>527</v>
      </c>
      <c r="B88" s="1" t="s">
        <v>530</v>
      </c>
      <c r="C88" s="66">
        <v>45846</v>
      </c>
      <c r="D88" s="1" t="s">
        <v>88</v>
      </c>
      <c r="E88" s="1" t="s">
        <v>84</v>
      </c>
      <c r="F88" s="1"/>
    </row>
    <row r="89" spans="1:6">
      <c r="A89" s="10" t="s">
        <v>527</v>
      </c>
      <c r="B89" s="1" t="s">
        <v>530</v>
      </c>
      <c r="C89" s="66">
        <v>45846</v>
      </c>
      <c r="D89" s="1" t="s">
        <v>88</v>
      </c>
      <c r="E89" s="1" t="s">
        <v>7</v>
      </c>
      <c r="F89" s="1"/>
    </row>
    <row r="90" spans="1:6">
      <c r="A90" s="10" t="s">
        <v>531</v>
      </c>
      <c r="B90" s="1" t="s">
        <v>532</v>
      </c>
      <c r="C90" s="66">
        <v>45846</v>
      </c>
      <c r="D90" s="1" t="s">
        <v>88</v>
      </c>
      <c r="E90" s="1" t="s">
        <v>7</v>
      </c>
      <c r="F90" s="1"/>
    </row>
    <row r="91" spans="1:6">
      <c r="A91" s="10" t="s">
        <v>531</v>
      </c>
      <c r="B91" s="1" t="s">
        <v>533</v>
      </c>
      <c r="C91" s="66">
        <v>45846</v>
      </c>
      <c r="D91" s="1" t="s">
        <v>88</v>
      </c>
      <c r="E91" s="1" t="s">
        <v>7</v>
      </c>
      <c r="F91" s="1"/>
    </row>
    <row r="92" spans="1:6">
      <c r="A92" s="10" t="s">
        <v>534</v>
      </c>
      <c r="B92" s="1" t="s">
        <v>535</v>
      </c>
      <c r="C92" s="66">
        <v>45846</v>
      </c>
      <c r="D92" s="1" t="s">
        <v>88</v>
      </c>
      <c r="E92" s="1" t="s">
        <v>7</v>
      </c>
      <c r="F92" s="1"/>
    </row>
    <row r="93" spans="1:6">
      <c r="A93" s="10" t="s">
        <v>536</v>
      </c>
      <c r="B93" s="1" t="s">
        <v>537</v>
      </c>
      <c r="C93" s="66">
        <v>45846</v>
      </c>
      <c r="D93" s="1" t="s">
        <v>88</v>
      </c>
      <c r="E93" s="1" t="s">
        <v>7</v>
      </c>
      <c r="F93" s="1"/>
    </row>
    <row r="94" spans="1:6">
      <c r="A94" s="10" t="s">
        <v>536</v>
      </c>
      <c r="B94" s="1" t="s">
        <v>538</v>
      </c>
      <c r="C94" s="66">
        <v>45846</v>
      </c>
      <c r="D94" s="1" t="s">
        <v>88</v>
      </c>
      <c r="E94" s="1" t="s">
        <v>85</v>
      </c>
      <c r="F94" s="1"/>
    </row>
    <row r="95" spans="1:6">
      <c r="A95" s="10" t="s">
        <v>536</v>
      </c>
      <c r="B95" s="1" t="s">
        <v>538</v>
      </c>
      <c r="C95" s="66">
        <v>45846</v>
      </c>
      <c r="D95" s="1" t="s">
        <v>88</v>
      </c>
      <c r="E95" s="1" t="s">
        <v>84</v>
      </c>
      <c r="F95" s="1"/>
    </row>
    <row r="96" spans="1:6">
      <c r="A96" s="10" t="s">
        <v>536</v>
      </c>
      <c r="B96" s="1" t="s">
        <v>538</v>
      </c>
      <c r="C96" s="66">
        <v>45846</v>
      </c>
      <c r="D96" s="1" t="s">
        <v>88</v>
      </c>
      <c r="E96" s="1" t="s">
        <v>7</v>
      </c>
      <c r="F96" s="1"/>
    </row>
    <row r="97" spans="1:6">
      <c r="A97" s="10" t="s">
        <v>539</v>
      </c>
      <c r="B97" s="1" t="s">
        <v>540</v>
      </c>
      <c r="C97" s="66">
        <v>45846</v>
      </c>
      <c r="D97" s="1" t="s">
        <v>88</v>
      </c>
      <c r="E97" s="1" t="s">
        <v>85</v>
      </c>
      <c r="F97" s="1"/>
    </row>
    <row r="98" spans="1:6">
      <c r="A98" s="10" t="s">
        <v>539</v>
      </c>
      <c r="B98" s="1" t="s">
        <v>540</v>
      </c>
      <c r="C98" s="66">
        <v>45846</v>
      </c>
      <c r="D98" s="1" t="s">
        <v>88</v>
      </c>
      <c r="E98" s="1" t="s">
        <v>84</v>
      </c>
      <c r="F98" s="1"/>
    </row>
    <row r="99" spans="1:6">
      <c r="A99" s="10" t="s">
        <v>539</v>
      </c>
      <c r="B99" s="1" t="s">
        <v>540</v>
      </c>
      <c r="C99" s="66">
        <v>45846</v>
      </c>
      <c r="D99" s="1" t="s">
        <v>88</v>
      </c>
      <c r="E99" s="1" t="s">
        <v>7</v>
      </c>
      <c r="F99" s="1"/>
    </row>
    <row r="100" spans="1:6">
      <c r="A100" s="10" t="s">
        <v>541</v>
      </c>
      <c r="B100" s="1" t="s">
        <v>542</v>
      </c>
      <c r="C100" s="66">
        <v>45846</v>
      </c>
      <c r="D100" s="1" t="s">
        <v>88</v>
      </c>
      <c r="E100" s="1" t="s">
        <v>7</v>
      </c>
      <c r="F100" s="1"/>
    </row>
    <row r="101" spans="1:6">
      <c r="A101" s="10" t="s">
        <v>541</v>
      </c>
      <c r="B101" s="1" t="s">
        <v>543</v>
      </c>
      <c r="C101" s="66">
        <v>45846</v>
      </c>
      <c r="D101" s="1" t="s">
        <v>88</v>
      </c>
      <c r="E101" s="1" t="s">
        <v>85</v>
      </c>
      <c r="F101" s="1"/>
    </row>
    <row r="102" spans="1:6">
      <c r="A102" s="10" t="s">
        <v>541</v>
      </c>
      <c r="B102" s="1" t="s">
        <v>543</v>
      </c>
      <c r="C102" s="66">
        <v>45846</v>
      </c>
      <c r="D102" s="1" t="s">
        <v>88</v>
      </c>
      <c r="E102" s="1" t="s">
        <v>84</v>
      </c>
      <c r="F102" s="1"/>
    </row>
    <row r="103" spans="1:6">
      <c r="A103" s="10" t="s">
        <v>541</v>
      </c>
      <c r="B103" s="1" t="s">
        <v>544</v>
      </c>
      <c r="C103" s="66">
        <v>45846</v>
      </c>
      <c r="D103" s="1" t="s">
        <v>88</v>
      </c>
      <c r="E103" s="1" t="s">
        <v>85</v>
      </c>
      <c r="F103" s="1"/>
    </row>
    <row r="104" spans="1:6">
      <c r="A104" s="10" t="s">
        <v>541</v>
      </c>
      <c r="B104" s="1" t="s">
        <v>544</v>
      </c>
      <c r="C104" s="66">
        <v>45846</v>
      </c>
      <c r="D104" s="1" t="s">
        <v>88</v>
      </c>
      <c r="E104" s="1" t="s">
        <v>84</v>
      </c>
      <c r="F104" s="1"/>
    </row>
    <row r="105" spans="1:6">
      <c r="A105" s="10" t="s">
        <v>541</v>
      </c>
      <c r="B105" s="1" t="s">
        <v>545</v>
      </c>
      <c r="C105" s="66">
        <v>45846</v>
      </c>
      <c r="D105" s="1" t="s">
        <v>88</v>
      </c>
      <c r="E105" s="1" t="s">
        <v>7</v>
      </c>
      <c r="F105" s="1"/>
    </row>
    <row r="106" spans="1:6">
      <c r="A106" s="10" t="s">
        <v>541</v>
      </c>
      <c r="B106" s="1" t="s">
        <v>546</v>
      </c>
      <c r="C106" s="66">
        <v>45846</v>
      </c>
      <c r="D106" s="1" t="s">
        <v>88</v>
      </c>
      <c r="E106" s="1" t="s">
        <v>85</v>
      </c>
      <c r="F106" s="1"/>
    </row>
    <row r="107" spans="1:6">
      <c r="A107" s="10" t="s">
        <v>541</v>
      </c>
      <c r="B107" s="1" t="s">
        <v>546</v>
      </c>
      <c r="C107" s="66">
        <v>45846</v>
      </c>
      <c r="D107" s="1" t="s">
        <v>88</v>
      </c>
      <c r="E107" s="1" t="s">
        <v>84</v>
      </c>
      <c r="F107" s="1"/>
    </row>
    <row r="108" spans="1:6">
      <c r="A108" s="10" t="s">
        <v>541</v>
      </c>
      <c r="B108" s="1" t="s">
        <v>547</v>
      </c>
      <c r="C108" s="66">
        <v>45846</v>
      </c>
      <c r="D108" s="1" t="s">
        <v>88</v>
      </c>
      <c r="E108" s="1" t="s">
        <v>85</v>
      </c>
      <c r="F108" s="1"/>
    </row>
    <row r="109" spans="1:6">
      <c r="A109" s="10" t="s">
        <v>541</v>
      </c>
      <c r="B109" s="1" t="s">
        <v>547</v>
      </c>
      <c r="C109" s="66">
        <v>45846</v>
      </c>
      <c r="D109" s="1" t="s">
        <v>88</v>
      </c>
      <c r="E109" s="1" t="s">
        <v>84</v>
      </c>
      <c r="F109" s="1"/>
    </row>
    <row r="110" spans="1:6">
      <c r="A110" s="10" t="s">
        <v>541</v>
      </c>
      <c r="B110" s="1" t="s">
        <v>548</v>
      </c>
      <c r="C110" s="66">
        <v>45846</v>
      </c>
      <c r="D110" s="1" t="s">
        <v>88</v>
      </c>
      <c r="E110" s="1" t="s">
        <v>85</v>
      </c>
      <c r="F110" s="1"/>
    </row>
    <row r="111" spans="1:6">
      <c r="A111" s="10" t="s">
        <v>541</v>
      </c>
      <c r="B111" s="1" t="s">
        <v>548</v>
      </c>
      <c r="C111" s="66">
        <v>45846</v>
      </c>
      <c r="D111" s="1" t="s">
        <v>88</v>
      </c>
      <c r="E111" s="1" t="s">
        <v>84</v>
      </c>
      <c r="F111" s="1"/>
    </row>
    <row r="112" spans="1:6">
      <c r="A112" s="10" t="s">
        <v>549</v>
      </c>
      <c r="B112" s="1" t="s">
        <v>550</v>
      </c>
      <c r="C112" s="66">
        <v>45846</v>
      </c>
      <c r="D112" s="1" t="s">
        <v>88</v>
      </c>
      <c r="E112" s="1" t="s">
        <v>7</v>
      </c>
      <c r="F112" s="1"/>
    </row>
    <row r="113" spans="1:6">
      <c r="A113" s="10" t="s">
        <v>549</v>
      </c>
      <c r="B113" s="1" t="s">
        <v>551</v>
      </c>
      <c r="C113" s="66">
        <v>45846</v>
      </c>
      <c r="D113" s="1" t="s">
        <v>88</v>
      </c>
      <c r="E113" s="1" t="s">
        <v>7</v>
      </c>
      <c r="F113" s="1"/>
    </row>
    <row r="114" spans="1:6">
      <c r="A114" s="10" t="s">
        <v>552</v>
      </c>
      <c r="B114" s="1" t="s">
        <v>553</v>
      </c>
      <c r="C114" s="66">
        <v>45846</v>
      </c>
      <c r="D114" s="1" t="s">
        <v>88</v>
      </c>
      <c r="E114" s="1" t="s">
        <v>85</v>
      </c>
      <c r="F114" s="1"/>
    </row>
    <row r="115" spans="1:6">
      <c r="A115" s="10" t="s">
        <v>552</v>
      </c>
      <c r="B115" s="1" t="s">
        <v>553</v>
      </c>
      <c r="C115" s="66">
        <v>45846</v>
      </c>
      <c r="D115" s="1" t="s">
        <v>88</v>
      </c>
      <c r="E115" s="1" t="s">
        <v>84</v>
      </c>
      <c r="F115" s="1"/>
    </row>
    <row r="116" spans="1:6">
      <c r="A116" s="10" t="s">
        <v>552</v>
      </c>
      <c r="B116" s="1" t="s">
        <v>553</v>
      </c>
      <c r="C116" s="66">
        <v>45846</v>
      </c>
      <c r="D116" s="1" t="s">
        <v>88</v>
      </c>
      <c r="E116" s="1" t="s">
        <v>7</v>
      </c>
      <c r="F116" s="1"/>
    </row>
    <row r="117" spans="1:6">
      <c r="A117" s="10" t="s">
        <v>552</v>
      </c>
      <c r="B117" s="1" t="s">
        <v>554</v>
      </c>
      <c r="C117" s="66">
        <v>45846</v>
      </c>
      <c r="D117" s="1" t="s">
        <v>88</v>
      </c>
      <c r="E117" s="1" t="s">
        <v>7</v>
      </c>
      <c r="F117" s="1"/>
    </row>
    <row r="118" spans="1:6">
      <c r="A118" s="10" t="s">
        <v>552</v>
      </c>
      <c r="B118" s="1" t="s">
        <v>555</v>
      </c>
      <c r="C118" s="66">
        <v>45846</v>
      </c>
      <c r="D118" s="1" t="s">
        <v>88</v>
      </c>
      <c r="E118" s="1" t="s">
        <v>85</v>
      </c>
      <c r="F118" s="1"/>
    </row>
    <row r="119" spans="1:6">
      <c r="A119" s="10" t="s">
        <v>552</v>
      </c>
      <c r="B119" s="1" t="s">
        <v>555</v>
      </c>
      <c r="C119" s="66">
        <v>45846</v>
      </c>
      <c r="D119" s="1" t="s">
        <v>88</v>
      </c>
      <c r="E119" s="1" t="s">
        <v>84</v>
      </c>
      <c r="F119" s="1"/>
    </row>
    <row r="120" spans="1:6">
      <c r="A120" s="10" t="s">
        <v>552</v>
      </c>
      <c r="B120" s="1" t="s">
        <v>555</v>
      </c>
      <c r="C120" s="66">
        <v>45846</v>
      </c>
      <c r="D120" s="1" t="s">
        <v>88</v>
      </c>
      <c r="E120" s="1" t="s">
        <v>7</v>
      </c>
      <c r="F120" s="1"/>
    </row>
    <row r="121" spans="1:6">
      <c r="A121" s="10" t="s">
        <v>552</v>
      </c>
      <c r="B121" s="1" t="s">
        <v>556</v>
      </c>
      <c r="C121" s="66">
        <v>45846</v>
      </c>
      <c r="D121" s="1" t="s">
        <v>88</v>
      </c>
      <c r="E121" s="1" t="s">
        <v>85</v>
      </c>
      <c r="F121" s="1"/>
    </row>
    <row r="122" spans="1:6">
      <c r="A122" s="10" t="s">
        <v>552</v>
      </c>
      <c r="B122" s="1" t="s">
        <v>556</v>
      </c>
      <c r="C122" s="66">
        <v>45846</v>
      </c>
      <c r="D122" s="1" t="s">
        <v>88</v>
      </c>
      <c r="E122" s="1" t="s">
        <v>84</v>
      </c>
      <c r="F122" s="1"/>
    </row>
    <row r="123" spans="1:6">
      <c r="A123" s="10" t="s">
        <v>557</v>
      </c>
      <c r="B123" s="1" t="s">
        <v>558</v>
      </c>
      <c r="C123" s="66">
        <v>45846</v>
      </c>
      <c r="D123" s="1" t="s">
        <v>88</v>
      </c>
      <c r="E123" s="1" t="s">
        <v>85</v>
      </c>
      <c r="F123" s="1"/>
    </row>
    <row r="124" spans="1:6">
      <c r="A124" s="10" t="s">
        <v>557</v>
      </c>
      <c r="B124" s="1" t="s">
        <v>558</v>
      </c>
      <c r="C124" s="66">
        <v>45846</v>
      </c>
      <c r="D124" s="1" t="s">
        <v>88</v>
      </c>
      <c r="E124" s="1" t="s">
        <v>84</v>
      </c>
      <c r="F124" s="1"/>
    </row>
    <row r="125" spans="1:6">
      <c r="A125" s="10" t="s">
        <v>557</v>
      </c>
      <c r="B125" s="1" t="s">
        <v>558</v>
      </c>
      <c r="C125" s="66">
        <v>45846</v>
      </c>
      <c r="D125" s="1" t="s">
        <v>88</v>
      </c>
      <c r="E125" s="1" t="s">
        <v>7</v>
      </c>
      <c r="F125" s="1"/>
    </row>
    <row r="126" spans="1:6">
      <c r="A126" s="10" t="s">
        <v>559</v>
      </c>
      <c r="B126" s="1" t="s">
        <v>560</v>
      </c>
      <c r="C126" s="66">
        <v>45846</v>
      </c>
      <c r="D126" s="1" t="s">
        <v>88</v>
      </c>
      <c r="E126" s="1" t="s">
        <v>85</v>
      </c>
      <c r="F126" s="1"/>
    </row>
    <row r="127" spans="1:6">
      <c r="A127" s="10" t="s">
        <v>559</v>
      </c>
      <c r="B127" s="1" t="s">
        <v>560</v>
      </c>
      <c r="C127" s="66">
        <v>45846</v>
      </c>
      <c r="D127" s="1" t="s">
        <v>88</v>
      </c>
      <c r="E127" s="1" t="s">
        <v>84</v>
      </c>
      <c r="F127" s="1"/>
    </row>
    <row r="128" spans="1:6">
      <c r="A128" s="10" t="s">
        <v>559</v>
      </c>
      <c r="B128" s="1" t="s">
        <v>560</v>
      </c>
      <c r="C128" s="66">
        <v>45846</v>
      </c>
      <c r="D128" s="1" t="s">
        <v>88</v>
      </c>
      <c r="E128" s="1" t="s">
        <v>7</v>
      </c>
      <c r="F128" s="1"/>
    </row>
    <row r="129" spans="1:6">
      <c r="A129" s="10" t="s">
        <v>561</v>
      </c>
      <c r="B129" s="1" t="s">
        <v>562</v>
      </c>
      <c r="C129" s="66">
        <v>45846</v>
      </c>
      <c r="D129" s="1" t="s">
        <v>88</v>
      </c>
      <c r="E129" s="1" t="s">
        <v>85</v>
      </c>
      <c r="F129" s="1"/>
    </row>
    <row r="130" spans="1:6">
      <c r="A130" s="10" t="s">
        <v>561</v>
      </c>
      <c r="B130" s="1" t="s">
        <v>562</v>
      </c>
      <c r="C130" s="66">
        <v>45846</v>
      </c>
      <c r="D130" s="1" t="s">
        <v>88</v>
      </c>
      <c r="E130" s="1" t="s">
        <v>84</v>
      </c>
      <c r="F130" s="1"/>
    </row>
    <row r="131" spans="1:6">
      <c r="A131" s="10" t="s">
        <v>561</v>
      </c>
      <c r="B131" s="1" t="s">
        <v>562</v>
      </c>
      <c r="C131" s="66">
        <v>45846</v>
      </c>
      <c r="D131" s="1" t="s">
        <v>88</v>
      </c>
      <c r="E131" s="1" t="s">
        <v>7</v>
      </c>
      <c r="F131" s="1"/>
    </row>
    <row r="132" spans="1:6">
      <c r="A132" s="10" t="s">
        <v>561</v>
      </c>
      <c r="B132" s="1" t="s">
        <v>563</v>
      </c>
      <c r="C132" s="66">
        <v>45846</v>
      </c>
      <c r="D132" s="1" t="s">
        <v>88</v>
      </c>
      <c r="E132" s="1" t="s">
        <v>85</v>
      </c>
      <c r="F132" s="1"/>
    </row>
    <row r="133" spans="1:6">
      <c r="A133" s="10" t="s">
        <v>561</v>
      </c>
      <c r="B133" s="1" t="s">
        <v>563</v>
      </c>
      <c r="C133" s="66">
        <v>45846</v>
      </c>
      <c r="D133" s="1" t="s">
        <v>88</v>
      </c>
      <c r="E133" s="1" t="s">
        <v>84</v>
      </c>
      <c r="F133" s="1"/>
    </row>
    <row r="134" spans="1:6">
      <c r="A134" s="10" t="s">
        <v>561</v>
      </c>
      <c r="B134" s="1" t="s">
        <v>563</v>
      </c>
      <c r="C134" s="66">
        <v>45846</v>
      </c>
      <c r="D134" s="1" t="s">
        <v>88</v>
      </c>
      <c r="E134" s="1" t="s">
        <v>7</v>
      </c>
      <c r="F134" s="1"/>
    </row>
    <row r="135" spans="1:6">
      <c r="A135" s="10" t="s">
        <v>564</v>
      </c>
      <c r="B135" s="1" t="s">
        <v>565</v>
      </c>
      <c r="C135" s="66">
        <v>45846</v>
      </c>
      <c r="D135" s="1" t="s">
        <v>88</v>
      </c>
      <c r="E135" s="1" t="s">
        <v>85</v>
      </c>
      <c r="F135" s="1"/>
    </row>
    <row r="136" spans="1:6">
      <c r="A136" s="10" t="s">
        <v>564</v>
      </c>
      <c r="B136" s="1" t="s">
        <v>565</v>
      </c>
      <c r="C136" s="66">
        <v>45846</v>
      </c>
      <c r="D136" s="1" t="s">
        <v>88</v>
      </c>
      <c r="E136" s="1" t="s">
        <v>84</v>
      </c>
      <c r="F136" s="1"/>
    </row>
    <row r="137" spans="1:6">
      <c r="A137" s="10" t="s">
        <v>566</v>
      </c>
      <c r="B137" s="1" t="s">
        <v>567</v>
      </c>
      <c r="C137" s="66">
        <v>45846</v>
      </c>
      <c r="D137" s="1" t="s">
        <v>88</v>
      </c>
      <c r="E137" s="1" t="s">
        <v>85</v>
      </c>
      <c r="F137" s="1"/>
    </row>
    <row r="138" spans="1:6">
      <c r="A138" s="10" t="s">
        <v>566</v>
      </c>
      <c r="B138" s="1" t="s">
        <v>567</v>
      </c>
      <c r="C138" s="66">
        <v>45846</v>
      </c>
      <c r="D138" s="1" t="s">
        <v>88</v>
      </c>
      <c r="E138" s="1" t="s">
        <v>84</v>
      </c>
      <c r="F138" s="1"/>
    </row>
    <row r="139" spans="1:6">
      <c r="A139" s="10" t="s">
        <v>568</v>
      </c>
      <c r="B139" s="1" t="s">
        <v>569</v>
      </c>
      <c r="C139" s="66">
        <v>45846</v>
      </c>
      <c r="D139" s="1" t="s">
        <v>88</v>
      </c>
      <c r="E139" s="1" t="s">
        <v>85</v>
      </c>
      <c r="F139" s="1"/>
    </row>
    <row r="140" spans="1:6">
      <c r="A140" s="10" t="s">
        <v>570</v>
      </c>
      <c r="B140" s="1" t="s">
        <v>571</v>
      </c>
      <c r="C140" s="66">
        <v>45846</v>
      </c>
      <c r="D140" s="1" t="s">
        <v>88</v>
      </c>
      <c r="E140" s="1" t="s">
        <v>84</v>
      </c>
      <c r="F140" s="1"/>
    </row>
    <row r="141" spans="1:6">
      <c r="A141" s="10" t="s">
        <v>572</v>
      </c>
      <c r="B141" s="1" t="s">
        <v>573</v>
      </c>
      <c r="C141" s="66">
        <v>45846</v>
      </c>
      <c r="D141" s="1" t="s">
        <v>88</v>
      </c>
      <c r="E141" s="1" t="s">
        <v>85</v>
      </c>
      <c r="F141" s="1"/>
    </row>
    <row r="142" spans="1:6">
      <c r="A142" s="10" t="s">
        <v>574</v>
      </c>
      <c r="B142" s="1" t="s">
        <v>575</v>
      </c>
      <c r="C142" s="66">
        <v>45846</v>
      </c>
      <c r="D142" s="1" t="s">
        <v>88</v>
      </c>
      <c r="E142" s="1" t="s">
        <v>84</v>
      </c>
      <c r="F142" s="1"/>
    </row>
    <row r="143" spans="1:6">
      <c r="A143" s="10" t="s">
        <v>576</v>
      </c>
      <c r="B143" s="1" t="s">
        <v>577</v>
      </c>
      <c r="C143" s="66">
        <v>45846</v>
      </c>
      <c r="D143" s="1" t="s">
        <v>88</v>
      </c>
      <c r="E143" s="1" t="s">
        <v>85</v>
      </c>
      <c r="F143" s="1"/>
    </row>
    <row r="144" spans="1:6">
      <c r="A144" s="10" t="s">
        <v>576</v>
      </c>
      <c r="B144" s="1" t="s">
        <v>577</v>
      </c>
      <c r="C144" s="66">
        <v>45846</v>
      </c>
      <c r="D144" s="1" t="s">
        <v>88</v>
      </c>
      <c r="E144" s="1" t="s">
        <v>84</v>
      </c>
      <c r="F144" s="1"/>
    </row>
    <row r="145" spans="1:6">
      <c r="A145" s="10" t="s">
        <v>576</v>
      </c>
      <c r="B145" s="1" t="s">
        <v>578</v>
      </c>
      <c r="C145" s="66">
        <v>45846</v>
      </c>
      <c r="D145" s="1" t="s">
        <v>88</v>
      </c>
      <c r="E145" s="1" t="s">
        <v>84</v>
      </c>
      <c r="F145" s="1"/>
    </row>
    <row r="146" spans="1:6">
      <c r="A146" s="10" t="s">
        <v>579</v>
      </c>
      <c r="B146" s="1" t="s">
        <v>580</v>
      </c>
      <c r="C146" s="66">
        <v>45846</v>
      </c>
      <c r="D146" s="1" t="s">
        <v>88</v>
      </c>
      <c r="E146" s="1" t="s">
        <v>84</v>
      </c>
      <c r="F146" s="1"/>
    </row>
    <row r="147" spans="1:6">
      <c r="A147" s="10" t="s">
        <v>581</v>
      </c>
      <c r="B147" s="1" t="s">
        <v>582</v>
      </c>
      <c r="C147" s="66">
        <v>45846</v>
      </c>
      <c r="D147" s="1" t="s">
        <v>88</v>
      </c>
      <c r="E147" s="1" t="s">
        <v>84</v>
      </c>
      <c r="F147" s="1"/>
    </row>
    <row r="148" spans="1:6">
      <c r="A148" s="10" t="s">
        <v>583</v>
      </c>
      <c r="B148" s="1" t="s">
        <v>584</v>
      </c>
      <c r="C148" s="66">
        <v>45846</v>
      </c>
      <c r="D148" s="1" t="s">
        <v>88</v>
      </c>
      <c r="E148" s="1" t="s">
        <v>85</v>
      </c>
      <c r="F148" s="1"/>
    </row>
    <row r="149" spans="1:6">
      <c r="A149" s="10" t="s">
        <v>583</v>
      </c>
      <c r="B149" s="1" t="s">
        <v>584</v>
      </c>
      <c r="C149" s="66">
        <v>45846</v>
      </c>
      <c r="D149" s="1" t="s">
        <v>88</v>
      </c>
      <c r="E149" s="1" t="s">
        <v>84</v>
      </c>
      <c r="F149" s="1"/>
    </row>
    <row r="150" spans="1:6">
      <c r="A150" s="10" t="s">
        <v>585</v>
      </c>
      <c r="B150" s="1" t="s">
        <v>586</v>
      </c>
      <c r="C150" s="66">
        <v>45846</v>
      </c>
      <c r="D150" s="1" t="s">
        <v>88</v>
      </c>
      <c r="E150" s="1" t="s">
        <v>84</v>
      </c>
      <c r="F150" s="1"/>
    </row>
    <row r="151" spans="1:6">
      <c r="A151" s="10" t="s">
        <v>585</v>
      </c>
      <c r="B151" s="1" t="s">
        <v>587</v>
      </c>
      <c r="C151" s="66">
        <v>45846</v>
      </c>
      <c r="D151" s="1" t="s">
        <v>88</v>
      </c>
      <c r="E151" s="1" t="s">
        <v>84</v>
      </c>
      <c r="F151" s="1"/>
    </row>
    <row r="152" spans="1:6">
      <c r="A152" s="10" t="s">
        <v>585</v>
      </c>
      <c r="B152" s="1" t="s">
        <v>588</v>
      </c>
      <c r="C152" s="66">
        <v>45846</v>
      </c>
      <c r="D152" s="1" t="s">
        <v>88</v>
      </c>
      <c r="E152" s="1" t="s">
        <v>84</v>
      </c>
      <c r="F152" s="1"/>
    </row>
    <row r="153" spans="1:6">
      <c r="A153" s="10" t="s">
        <v>589</v>
      </c>
      <c r="B153" s="1" t="s">
        <v>590</v>
      </c>
      <c r="C153" s="66">
        <v>45846</v>
      </c>
      <c r="D153" s="1" t="s">
        <v>88</v>
      </c>
      <c r="E153" s="1" t="s">
        <v>84</v>
      </c>
      <c r="F153" s="1"/>
    </row>
    <row r="154" spans="1:6">
      <c r="A154" s="10" t="s">
        <v>591</v>
      </c>
      <c r="B154" s="1" t="s">
        <v>592</v>
      </c>
      <c r="C154" s="66">
        <v>45846</v>
      </c>
      <c r="D154" s="1" t="s">
        <v>88</v>
      </c>
      <c r="E154" s="1" t="s">
        <v>7</v>
      </c>
      <c r="F154" s="1"/>
    </row>
    <row r="155" spans="1:6">
      <c r="A155" s="10" t="s">
        <v>591</v>
      </c>
      <c r="B155" s="1" t="s">
        <v>593</v>
      </c>
      <c r="C155" s="66">
        <v>45846</v>
      </c>
      <c r="D155" s="1" t="s">
        <v>88</v>
      </c>
      <c r="E155" s="1" t="s">
        <v>7</v>
      </c>
      <c r="F155" s="1"/>
    </row>
    <row r="156" spans="1:6">
      <c r="A156" s="10" t="s">
        <v>594</v>
      </c>
      <c r="B156" s="1" t="s">
        <v>595</v>
      </c>
      <c r="C156" s="66">
        <v>45846</v>
      </c>
      <c r="D156" s="1" t="s">
        <v>88</v>
      </c>
      <c r="E156" s="1" t="s">
        <v>7</v>
      </c>
      <c r="F156" s="1"/>
    </row>
    <row r="157" spans="1:6">
      <c r="A157" s="10" t="s">
        <v>596</v>
      </c>
      <c r="B157" s="1" t="s">
        <v>597</v>
      </c>
      <c r="C157" s="66">
        <v>45846</v>
      </c>
      <c r="D157" s="1" t="s">
        <v>88</v>
      </c>
      <c r="E157" s="1" t="s">
        <v>7</v>
      </c>
      <c r="F157" s="1"/>
    </row>
    <row r="158" spans="1:6">
      <c r="A158" s="10" t="s">
        <v>598</v>
      </c>
      <c r="B158" s="1" t="s">
        <v>599</v>
      </c>
      <c r="C158" s="66">
        <v>45846</v>
      </c>
      <c r="D158" s="1" t="s">
        <v>88</v>
      </c>
      <c r="E158" s="1" t="s">
        <v>7</v>
      </c>
      <c r="F158" s="1"/>
    </row>
  </sheetData>
  <hyperlinks>
    <hyperlink ref="A4" location="'Tareas_Hoy'!C1" tooltip="T20250708-3" display="'Tareas_Hoy'!C1" xr:uid="{EBB52489-1AA1-40AA-9B5E-B1C354F480F0}"/>
    <hyperlink ref="A5" location="'Tareas_Hoy'!C1" tooltip="T20250708-5" display="'Tareas_Hoy'!C1" xr:uid="{2D49C60D-FF6C-4306-828C-515BEC8AEEB3}"/>
    <hyperlink ref="A6" location="'Tareas_Hoy'!C1" tooltip="T20250708-6" display="'Tareas_Hoy'!C1" xr:uid="{9BD97BFE-39E6-47C0-AEC9-8FB9BF76250D}"/>
    <hyperlink ref="A7" location="'Tareas_Hoy'!C1" tooltip="T20250708-7" display="'Tareas_Hoy'!C1" xr:uid="{B78BB659-BFF0-4214-9BBC-2E96753FBDFA}"/>
    <hyperlink ref="A8" location="'Tareas_Hoy'!C1" tooltip="T20250708-9" display="'Tareas_Hoy'!C1" xr:uid="{BEBA7F81-B20E-43AB-B2BD-E1EAD0399F3B}"/>
    <hyperlink ref="A9" location="'Tareas_Hoy'!C1" tooltip="T20250708-10" display="'Tareas_Hoy'!C1" xr:uid="{05001858-DB16-444A-B562-46D4FEEA97C1}"/>
    <hyperlink ref="A10" location="'Tareas_Hoy'!C1" tooltip="T20250708-11" display="'Tareas_Hoy'!C1" xr:uid="{39DC548E-8B43-4CB6-BE13-9AFFA6FB19A1}"/>
    <hyperlink ref="A11" location="'Tareas_Hoy'!C1" tooltip="T20250708-13" display="'Tareas_Hoy'!C1" xr:uid="{AADBC550-F90D-4BCB-A398-D43052F1D42D}"/>
    <hyperlink ref="A12" location="'Tareas_Hoy'!C1" tooltip="T20250708-14" display="'Tareas_Hoy'!C1" xr:uid="{8F117B56-20E1-422D-8761-8274EE6499E6}"/>
    <hyperlink ref="A13" location="'Tareas_Hoy'!C1" tooltip="T20250708-15" display="'Tareas_Hoy'!C1" xr:uid="{AB686057-1694-43A9-922A-DC2FA7DCE0AA}"/>
    <hyperlink ref="A14" location="'Tareas_Hoy'!C1" tooltip="T20250708-17" display="'Tareas_Hoy'!C1" xr:uid="{2B6E18FD-753D-4B0F-9642-55CE9689635E}"/>
    <hyperlink ref="A15" location="'Tareas_Hoy'!C1" tooltip="T20250708-18" display="'Tareas_Hoy'!C1" xr:uid="{F924A94D-C302-47E8-9F92-F5ED95441C8E}"/>
    <hyperlink ref="A16" location="'Tareas_Hoy'!C1" tooltip="T20250708-19" display="'Tareas_Hoy'!C1" xr:uid="{984641FB-35DA-4C61-9717-6F679FA6D069}"/>
    <hyperlink ref="A17" location="'Tareas_Hoy'!C1" tooltip="T20250708-21" display="'Tareas_Hoy'!C1" xr:uid="{BF634E2B-FBE2-4FE8-AD9E-D8EAEEDDAD0F}"/>
    <hyperlink ref="A18" location="'Tareas_Hoy'!C1" tooltip="T20250708-22" display="'Tareas_Hoy'!C1" xr:uid="{18443D4D-9F5C-4D93-97B3-4E3C31ABA4D8}"/>
    <hyperlink ref="A19" location="'Tareas_Hoy'!C1" tooltip="T20250708-24" display="'Tareas_Hoy'!C1" xr:uid="{FED3D283-6DAB-4C74-B6BD-BC5B5C0708C1}"/>
    <hyperlink ref="A20" location="'Tareas_Hoy'!C1" tooltip="T20250708-25" display="'Tareas_Hoy'!C1" xr:uid="{39CC4881-A60A-4E03-BD85-CE946162C7FB}"/>
    <hyperlink ref="A21" location="'Tareas_Hoy'!C1" tooltip="T20250708-26" display="'Tareas_Hoy'!C1" xr:uid="{75FDB139-E172-4913-91E1-F830FAC2DD59}"/>
    <hyperlink ref="A22" location="'Tareas_Hoy'!C1" tooltip="T20250708-27" display="'Tareas_Hoy'!C1" xr:uid="{E7B423E8-E4B0-43E2-94DA-FD6C8CBF3091}"/>
    <hyperlink ref="A23" location="'Tareas_Hoy'!C1" tooltip="T20250708-28" display="'Tareas_Hoy'!C1" xr:uid="{27265423-A720-4EB0-9F0D-448EA37D7C7B}"/>
    <hyperlink ref="A24" location="'Tareas_Hoy'!C1" tooltip="T20250708-30" display="'Tareas_Hoy'!C1" xr:uid="{9480083A-421C-45D3-937D-F43D2BA4F12E}"/>
    <hyperlink ref="A25" location="'Tareas_Hoy'!C1" tooltip="T20250708-31" display="'Tareas_Hoy'!C1" xr:uid="{0EFA34A3-4AF3-4943-93D4-E4BC48BF8887}"/>
    <hyperlink ref="A26" location="'Tareas_Hoy'!C1" tooltip="T20250708-33" display="'Tareas_Hoy'!C1" xr:uid="{523EEFD1-7532-4D74-940B-F098C1AA0677}"/>
    <hyperlink ref="A27" location="'Tareas_Hoy'!C1" tooltip="T20250708-34" display="'Tareas_Hoy'!C1" xr:uid="{BFA7AFA8-4610-41EE-81AF-4C597D5F775B}"/>
    <hyperlink ref="A28" location="'Tareas_Hoy'!C1" tooltip="T20250708-36" display="'Tareas_Hoy'!C1" xr:uid="{CE7C6936-DB01-479B-967A-6D233F3CD024}"/>
    <hyperlink ref="A29" location="'Tareas_Hoy'!C1" tooltip="T20250708-37" display="'Tareas_Hoy'!C1" xr:uid="{F097B8C7-759D-49E2-8712-6C9B8D1FAC79}"/>
    <hyperlink ref="A30" location="'Tareas_Hoy'!C1" tooltip="T20250708-38" display="'Tareas_Hoy'!C1" xr:uid="{F0EC061E-B31A-4A7D-BD68-8E027D46D9FF}"/>
    <hyperlink ref="A31" location="'Tareas_Hoy'!C1" tooltip="T20250708-39" display="'Tareas_Hoy'!C1" xr:uid="{C005814F-2E62-4CE6-ADED-8CC7BB0BF3A5}"/>
    <hyperlink ref="A32" location="'Tareas_Hoy'!C1" tooltip="T20250708-40" display="'Tareas_Hoy'!C1" xr:uid="{2BC6ECCE-2373-4B2D-B788-9771CF94888E}"/>
    <hyperlink ref="A33" location="'Tareas_Hoy'!C1" tooltip="T20250708-41" display="'Tareas_Hoy'!C1" xr:uid="{386F1E59-EC6F-4857-9935-D4A574E84D14}"/>
    <hyperlink ref="A34" location="'Tareas_Hoy'!C1" tooltip="T20250708-42" display="'Tareas_Hoy'!C1" xr:uid="{42DCBC95-7233-4CA3-ACDE-AF6BD9C2E16E}"/>
    <hyperlink ref="A35" location="'Tareas_Hoy'!C1" tooltip="T20250708-43" display="'Tareas_Hoy'!C1" xr:uid="{C3611B56-A466-46BC-9125-386CDCA12FCA}"/>
    <hyperlink ref="A36" location="'Tareas_Hoy'!C1" tooltip="T20250708-44" display="'Tareas_Hoy'!C1" xr:uid="{A7ED5FDD-D4A3-4C54-9EE7-EA57C0FFB275}"/>
    <hyperlink ref="A37" location="'Tareas_Hoy'!C1" tooltip="T20250708-45" display="'Tareas_Hoy'!C1" xr:uid="{7277C599-ABC5-45C1-A7CF-049ECC1C256A}"/>
    <hyperlink ref="A38" location="'Tareas_Hoy'!C1" tooltip="T20250708-46" display="'Tareas_Hoy'!C1" xr:uid="{94E9F666-7756-4C01-AAEA-78A981A33CDC}"/>
    <hyperlink ref="A39" location="'Tareas_Hoy'!C1" tooltip="T20250708-47" display="'Tareas_Hoy'!C1" xr:uid="{159455A2-B721-4856-99CA-6700725A8C63}"/>
    <hyperlink ref="A40" location="'Tareas_Hoy'!C1" tooltip="T20250708-48" display="'Tareas_Hoy'!C1" xr:uid="{CBCE77D7-509E-47F8-BDE1-2C7B06AA47B0}"/>
    <hyperlink ref="A41" location="'Tareas_Hoy'!C1" tooltip="T20250708-49" display="'Tareas_Hoy'!C1" xr:uid="{3D992618-641B-4596-8AF2-1F598B45F008}"/>
    <hyperlink ref="A42" location="'Tareas_Hoy'!C1" tooltip="T20250708-50" display="'Tareas_Hoy'!C1" xr:uid="{C9191468-2F7C-401F-BB7F-38E30A5FC629}"/>
    <hyperlink ref="A43" location="'Tareas_Hoy'!C1" tooltip="T20250708-51" display="'Tareas_Hoy'!C1" xr:uid="{B2D9A6F8-CA7C-4BE8-B487-5C2DD0B8675D}"/>
    <hyperlink ref="A44" location="'Tareas_Hoy'!C1" tooltip="T20250708-52" display="'Tareas_Hoy'!C1" xr:uid="{49BF604E-8F9B-47DD-BFF3-3794B1741BEC}"/>
    <hyperlink ref="A45" location="'Tareas_Hoy'!C1" tooltip="T20250708-53" display="'Tareas_Hoy'!C1" xr:uid="{05280F21-A64C-4D13-B3B9-F3E685216E39}"/>
    <hyperlink ref="A46" location="'Tareas_Hoy'!C1" tooltip="T20250708-56" display="'Tareas_Hoy'!C1" xr:uid="{4A2930EB-DC03-4F8E-A063-6BF7EE9E994F}"/>
    <hyperlink ref="A47" location="'Tareas_Hoy'!C1" tooltip="T20250708-57" display="'Tareas_Hoy'!C1" xr:uid="{EBFBC36F-ED05-437E-BDE6-465AF6057AE6}"/>
    <hyperlink ref="A48" location="'Tareas_Hoy'!C1" tooltip="T20250708-58" display="'Tareas_Hoy'!C1" xr:uid="{DFC144B1-0AF8-41CD-9F93-7BF3BB5AF489}"/>
    <hyperlink ref="A49" location="'Tareas_Hoy'!C1" tooltip="T20250708-59" display="'Tareas_Hoy'!C1" xr:uid="{4E044B2A-0655-40F5-89DC-1A778FB1654A}"/>
    <hyperlink ref="A50" location="'Tareas_Hoy'!C1" tooltip="T20250708-60" display="'Tareas_Hoy'!C1" xr:uid="{C66AF81C-68DE-4D67-ABF5-2900D720180C}"/>
    <hyperlink ref="A51" location="'Tareas_Hoy'!C1" tooltip="T20250708-62" display="'Tareas_Hoy'!C1" xr:uid="{2622F891-BFE1-4877-B1A8-3D5DA23AD814}"/>
    <hyperlink ref="A52" location="'Tareas_Hoy'!C1" tooltip="T20250708-63" display="'Tareas_Hoy'!C1" xr:uid="{0AB6CB88-0344-4B90-8864-EFCD8E159A9F}"/>
    <hyperlink ref="A53" location="'Tareas_Hoy'!C1" tooltip="T20250708-64" display="'Tareas_Hoy'!C1" xr:uid="{B0F839BE-0433-481F-AE5F-BCFBC3005B9A}"/>
    <hyperlink ref="A54" location="'Tareas_Hoy'!C1" tooltip="T20250708-65" display="'Tareas_Hoy'!C1" xr:uid="{12818EF1-EEE1-4678-B4A9-6AF4B11C142B}"/>
    <hyperlink ref="A55" location="'Tareas_Hoy'!C1" tooltip="T20250708-66" display="'Tareas_Hoy'!C1" xr:uid="{070D12C7-F7D8-4639-969D-6ADA5D32A25D}"/>
    <hyperlink ref="A56" location="'Tareas_Hoy'!C1" tooltip="T20250708-68" display="'Tareas_Hoy'!C1" xr:uid="{4A16391C-D874-4CC9-908C-7C1B395945AF}"/>
    <hyperlink ref="A57" location="'Tareas_Hoy'!C1" tooltip="T20250708-69" display="'Tareas_Hoy'!C1" xr:uid="{974A128E-EA74-4595-B924-43C7CCEE3123}"/>
    <hyperlink ref="A58" location="'Tareas_Hoy'!C1" tooltip="T20250708-70" display="'Tareas_Hoy'!C1" xr:uid="{6C45472C-1A64-4B66-A4F0-303425CFC4CB}"/>
    <hyperlink ref="A59" location="'Tareas_Hoy'!C1" tooltip="T20250708-73" display="'Tareas_Hoy'!C1" xr:uid="{484CACD0-7651-4404-B933-2CAD82E04253}"/>
    <hyperlink ref="A60" location="'Tareas_Hoy'!C1" tooltip="T20250708-74" display="'Tareas_Hoy'!C1" xr:uid="{7F063CA2-F01C-4050-8E92-751AE6F714B2}"/>
    <hyperlink ref="A61" location="'Tareas_Hoy'!C1" tooltip="T20250708-78" display="'Tareas_Hoy'!C1" xr:uid="{760EB3D7-8ABC-43D7-891B-F87751E4C304}"/>
    <hyperlink ref="A62" location="'Tareas_Hoy'!C1" tooltip="T20250708-79" display="'Tareas_Hoy'!C1" xr:uid="{E6792F04-34BA-4DB4-ABC1-E6876D88EB08}"/>
    <hyperlink ref="A63" location="'Tareas_Hoy'!C1" tooltip="T20250708-81" display="'Tareas_Hoy'!C1" xr:uid="{56CB681E-3EDD-4877-A670-DE8DDE93E45F}"/>
    <hyperlink ref="A64" location="'Tareas_Hoy'!C1" tooltip="T20250708-82" display="'Tareas_Hoy'!C1" xr:uid="{7B418112-129D-4B74-A935-F4A8134041AA}"/>
    <hyperlink ref="A65" location="'Tareas_Hoy'!C1" tooltip="T20250708-83" display="'Tareas_Hoy'!C1" xr:uid="{D0788F6A-0419-4162-80EF-540F7FAF7539}"/>
    <hyperlink ref="A66" location="'Tareas_Hoy'!C1" tooltip="T20250708-87" display="'Tareas_Hoy'!C1" xr:uid="{0596C4C1-4436-4B74-9E05-FFA855416756}"/>
    <hyperlink ref="A67" location="'Tareas_Hoy'!C1" tooltip="T20250708-88" display="'Tareas_Hoy'!C1" xr:uid="{CE0A3B7E-C19D-4457-ADC3-E24658D7656D}"/>
    <hyperlink ref="A68" location="'Tareas_Hoy'!C1" tooltip="T20250708-91" display="'Tareas_Hoy'!C1" xr:uid="{D0D433D7-0115-4AB4-A0BA-5AEBB27B312B}"/>
    <hyperlink ref="A69" location="'Tareas_Hoy'!C1" tooltip="T20250708-93" display="'Tareas_Hoy'!C1" xr:uid="{5A1E28E6-B1E1-40F6-8C68-8205EAFC5E27}"/>
    <hyperlink ref="A70" location="'Tareas_Hoy'!C1" tooltip="T20250708-95" display="'Tareas_Hoy'!C1" xr:uid="{25C00015-BDB9-4BC8-B7E6-1242E22B6BF2}"/>
    <hyperlink ref="A71" location="'Tareas_Hoy'!C1" tooltip="T20250708-96" display="'Tareas_Hoy'!C1" xr:uid="{7022569B-98D0-42DB-877A-8842A6C6FE77}"/>
    <hyperlink ref="A72" location="'Tareas_Hoy'!C1" tooltip="T20250708-97" display="'Tareas_Hoy'!C1" xr:uid="{EEAEE90F-1B36-48DC-B54D-C175EF3330B5}"/>
    <hyperlink ref="A73" location="'Tareas_Hoy'!C1" tooltip="T20250708-98" display="'Tareas_Hoy'!C1" xr:uid="{0782FFB4-DB39-4371-A06E-9091FAF3BFD9}"/>
    <hyperlink ref="A74" location="'Tareas_Hoy'!C1" tooltip="T20250708-99" display="'Tareas_Hoy'!C1" xr:uid="{4E5C3D10-B748-4DB8-B95D-A3E39AA39040}"/>
    <hyperlink ref="A75" location="'Tareas_Hoy'!C1" tooltip="T20250708-100" display="'Tareas_Hoy'!C1" xr:uid="{C4352AF5-08D3-48BA-9DAD-66B88C70E55F}"/>
    <hyperlink ref="A76" location="'Tareas_Hoy'!C1" tooltip="T20250708-101" display="'Tareas_Hoy'!C1" xr:uid="{DB689435-E0AC-467A-ACE4-74FE27E6F3DA}"/>
    <hyperlink ref="A77" location="'Tareas_Hoy'!C1" tooltip="T20250708-102" display="'Tareas_Hoy'!C1" xr:uid="{1CB10EAF-090F-4596-AFA7-D6687319C358}"/>
    <hyperlink ref="A78" location="'Tareas_Hoy'!C1" tooltip="T20250708-103" display="'Tareas_Hoy'!C1" xr:uid="{AF889665-F88D-4762-855F-50996D624463}"/>
    <hyperlink ref="A79" location="'Tareas_Hoy'!C1" tooltip="T20250708-104" display="'Tareas_Hoy'!C1" xr:uid="{C096B8E1-39AF-443A-85B3-6D0918276A01}"/>
    <hyperlink ref="A80" location="'Tareas_Hoy'!C1" tooltip="T20250708-105" display="'Tareas_Hoy'!C1" xr:uid="{2B698186-A5EB-4ACC-89E0-455F2831F312}"/>
    <hyperlink ref="A81" location="'Tareas_Hoy'!C1" tooltip="T20250708-106" display="'Tareas_Hoy'!C1" xr:uid="{6D296FC3-C224-4EC9-AC13-1D5C517D24D9}"/>
    <hyperlink ref="A82" location="'Tareas_Hoy'!C1" tooltip="T20250708-107" display="'Tareas_Hoy'!C1" xr:uid="{1C0E4D2C-E095-4671-8606-3630CB073105}"/>
    <hyperlink ref="A83" location="'Tareas_Hoy'!C1" tooltip="T20250708-108" display="'Tareas_Hoy'!C1" xr:uid="{C34AA233-D0CD-4132-B85A-A8C59E20A3CC}"/>
    <hyperlink ref="A84" location="'Tareas_Hoy'!C1" tooltip="T20250708-109" display="'Tareas_Hoy'!C1" xr:uid="{FEB1A9D5-598C-44FF-A6B2-D0D043DD9FD8}"/>
    <hyperlink ref="A85" location="'Tareas_Hoy'!C1" tooltip="T20250708-111" display="'Tareas_Hoy'!C1" xr:uid="{DD6C5579-BF66-41C5-A6ED-442E56F2C848}"/>
    <hyperlink ref="A86" location="'Tareas_Hoy'!C1" tooltip="T20250708-112" display="'Tareas_Hoy'!C1" xr:uid="{7B800A8F-D4D2-49F1-9FE7-AE15A5ABE5F1}"/>
    <hyperlink ref="A87" location="'Tareas_Hoy'!C1" tooltip="T20250708-113" display="'Tareas_Hoy'!C1" xr:uid="{034DD6DB-16EB-4EFF-8D57-311963546CD3}"/>
    <hyperlink ref="A88" location="'Tareas_Hoy'!C1" tooltip="T20250708-114" display="'Tareas_Hoy'!C1" xr:uid="{AE46905A-A397-44E3-AD1E-DF5BE52566BF}"/>
    <hyperlink ref="A89" location="'Tareas_Hoy'!C1" tooltip="T20250708-115" display="'Tareas_Hoy'!C1" xr:uid="{B1AD57AD-F9C3-4B41-B97F-E3D69BE174AF}"/>
    <hyperlink ref="A90" location="'Tareas_Hoy'!C1" tooltip="T20250708-116" display="'Tareas_Hoy'!C1" xr:uid="{713197DF-1548-4B94-AFBE-E099CFE2860F}"/>
    <hyperlink ref="A91" location="'Tareas_Hoy'!C1" tooltip="T20250708-117" display="'Tareas_Hoy'!C1" xr:uid="{CC4354A1-0846-49B1-B45B-D96EF66F4365}"/>
    <hyperlink ref="A92" location="'Tareas_Hoy'!C1" tooltip="T20250708-118" display="'Tareas_Hoy'!C1" xr:uid="{9E1DE9ED-1454-4FAB-8B00-447D319E6A9D}"/>
    <hyperlink ref="A93" location="'Tareas_Hoy'!C1" tooltip="T20250708-120" display="'Tareas_Hoy'!C1" xr:uid="{98590C7C-75A7-4D85-8226-A513FA453575}"/>
    <hyperlink ref="A94" location="'Tareas_Hoy'!C1" tooltip="T20250708-122" display="'Tareas_Hoy'!C1" xr:uid="{F8D1FC3D-6E4D-4278-A853-B6CC4F8E35E3}"/>
    <hyperlink ref="A95" location="'Tareas_Hoy'!C1" tooltip="T20250708-123" display="'Tareas_Hoy'!C1" xr:uid="{73D84FD8-FBE5-4576-BEB3-E6E04A682E1C}"/>
    <hyperlink ref="A96" location="'Tareas_Hoy'!C1" tooltip="T20250708-124" display="'Tareas_Hoy'!C1" xr:uid="{1DA72E10-5DBA-4B73-8092-FF452EF4663D}"/>
    <hyperlink ref="A97" location="'Tareas_Hoy'!C1" tooltip="T20250708-126" display="'Tareas_Hoy'!C1" xr:uid="{235C147A-A691-4419-92B5-A3B7053DA50B}"/>
    <hyperlink ref="A98" location="'Tareas_Hoy'!C1" tooltip="T20250708-127" display="'Tareas_Hoy'!C1" xr:uid="{47FE8CE8-8917-4453-87DB-729F5595349C}"/>
    <hyperlink ref="A99" location="'Tareas_Hoy'!C1" tooltip="T20250708-128" display="'Tareas_Hoy'!C1" xr:uid="{99062341-E090-4C5F-969E-1AF5C1B8810A}"/>
    <hyperlink ref="A100" location="'Tareas_Hoy'!C1" tooltip="T20250708-130" display="'Tareas_Hoy'!C1" xr:uid="{D360C0CD-E004-4943-898A-5D327BAF3CEF}"/>
    <hyperlink ref="A101" location="'Tareas_Hoy'!C1" tooltip="T20250708-131" display="'Tareas_Hoy'!C1" xr:uid="{5DD5DA5A-769F-4033-8827-21F3F1055655}"/>
    <hyperlink ref="A102" location="'Tareas_Hoy'!C1" tooltip="T20250708-132" display="'Tareas_Hoy'!C1" xr:uid="{5DB7144D-8F03-486C-9761-586960750874}"/>
    <hyperlink ref="A103" location="'Tareas_Hoy'!C1" tooltip="T20250708-133" display="'Tareas_Hoy'!C1" xr:uid="{10B0621F-BB82-413D-9C81-F272E08BDB27}"/>
    <hyperlink ref="A104" location="'Tareas_Hoy'!C1" tooltip="T20250708-134" display="'Tareas_Hoy'!C1" xr:uid="{8CEF8F3F-074D-45C4-83CB-53466FFE36D5}"/>
    <hyperlink ref="A105" location="'Tareas_Hoy'!C1" tooltip="T20250708-135" display="'Tareas_Hoy'!C1" xr:uid="{9DFB98B3-815B-4DBC-95D3-5675AF0B2780}"/>
    <hyperlink ref="A106" location="'Tareas_Hoy'!C1" tooltip="T20250708-136" display="'Tareas_Hoy'!C1" xr:uid="{827479E1-0F70-4082-BD33-F342E8C5DCE2}"/>
    <hyperlink ref="A107" location="'Tareas_Hoy'!C1" tooltip="T20250708-137" display="'Tareas_Hoy'!C1" xr:uid="{D898DA44-C9FB-43AA-96D4-C839480B5F0B}"/>
    <hyperlink ref="A108" location="'Tareas_Hoy'!C1" tooltip="T20250708-138" display="'Tareas_Hoy'!C1" xr:uid="{34684621-EBFA-4578-9AFB-9D0C226E014A}"/>
    <hyperlink ref="A109" location="'Tareas_Hoy'!C1" tooltip="T20250708-139" display="'Tareas_Hoy'!C1" xr:uid="{0F6D2E58-5A1D-4821-A470-8E8E8DA5B1E5}"/>
    <hyperlink ref="A110" location="'Tareas_Hoy'!C1" tooltip="T20250708-140" display="'Tareas_Hoy'!C1" xr:uid="{C36C7430-8A00-4352-A0F3-3612F5C0C4F8}"/>
    <hyperlink ref="A111" location="'Tareas_Hoy'!C1" tooltip="T20250708-141" display="'Tareas_Hoy'!C1" xr:uid="{8CFAE5AC-62CD-467C-B19E-E7279167DE05}"/>
    <hyperlink ref="A112" location="'Tareas_Hoy'!C1" tooltip="T20250708-142" display="'Tareas_Hoy'!C1" xr:uid="{966919E1-4608-4B2C-B23F-81611C9E59BB}"/>
    <hyperlink ref="A113" location="'Tareas_Hoy'!C1" tooltip="T20250708-143" display="'Tareas_Hoy'!C1" xr:uid="{9CD78CA5-2EC2-4ADE-A2E6-984E9A90D8DF}"/>
    <hyperlink ref="A114" location="'Tareas_Hoy'!C1" tooltip="T20250708-145" display="'Tareas_Hoy'!C1" xr:uid="{D65449D4-D7A5-42C2-BBF4-6E26B7E379FA}"/>
    <hyperlink ref="A115" location="'Tareas_Hoy'!C1" tooltip="T20250708-146" display="'Tareas_Hoy'!C1" xr:uid="{1078B53E-467E-43FA-865E-1A3E1A64229E}"/>
    <hyperlink ref="A116" location="'Tareas_Hoy'!C1" tooltip="T20250708-147" display="'Tareas_Hoy'!C1" xr:uid="{A9D96137-3B56-41CB-AF46-2C6FDBD36A3F}"/>
    <hyperlink ref="A117" location="'Tareas_Hoy'!C1" tooltip="T20250708-148" display="'Tareas_Hoy'!C1" xr:uid="{4B8E792B-3AF8-45E5-BD70-727FDE6BB3AB}"/>
    <hyperlink ref="A118" location="'Tareas_Hoy'!C1" tooltip="T20250708-149" display="'Tareas_Hoy'!C1" xr:uid="{4FDBF1C7-4446-45A4-836D-8AE64B88CED5}"/>
    <hyperlink ref="A119" location="'Tareas_Hoy'!C1" tooltip="T20250708-150" display="'Tareas_Hoy'!C1" xr:uid="{845F2CF4-B2B8-4C04-8F8F-E6737C4395AE}"/>
    <hyperlink ref="A120" location="'Tareas_Hoy'!C1" tooltip="T20250708-151" display="'Tareas_Hoy'!C1" xr:uid="{29AA5D09-B939-4109-A0F3-746A2B05B1E9}"/>
    <hyperlink ref="A121" location="'Tareas_Hoy'!C1" tooltip="T20250708-152" display="'Tareas_Hoy'!C1" xr:uid="{E8F72371-F29C-4867-AE6A-5777B8CB0792}"/>
    <hyperlink ref="A122" location="'Tareas_Hoy'!C1" tooltip="T20250708-153" display="'Tareas_Hoy'!C1" xr:uid="{58D85FAF-CE69-4AA3-A056-FC890AEA1F44}"/>
    <hyperlink ref="A123" location="'Tareas_Hoy'!C1" tooltip="T20250708-155" display="'Tareas_Hoy'!C1" xr:uid="{7CD99EB9-3602-48F5-A70B-AF9F69ADF0F4}"/>
    <hyperlink ref="A124" location="'Tareas_Hoy'!C1" tooltip="T20250708-156" display="'Tareas_Hoy'!C1" xr:uid="{8B83E30E-826A-45BD-AAE8-466279F8BBF5}"/>
    <hyperlink ref="A125" location="'Tareas_Hoy'!C1" tooltip="T20250708-157" display="'Tareas_Hoy'!C1" xr:uid="{246FCCB9-8F8E-44EE-BAEE-8C0969EDBBE4}"/>
    <hyperlink ref="A126" location="'Tareas_Hoy'!C1" tooltip="T20250708-159" display="'Tareas_Hoy'!C1" xr:uid="{C02BB507-190F-4728-8446-A49B0E9C23DC}"/>
    <hyperlink ref="A127" location="'Tareas_Hoy'!C1" tooltip="T20250708-160" display="'Tareas_Hoy'!C1" xr:uid="{5C91C020-88AA-4DF0-B319-7BE3DED8B638}"/>
    <hyperlink ref="A128" location="'Tareas_Hoy'!C1" tooltip="T20250708-161" display="'Tareas_Hoy'!C1" xr:uid="{F2BD59A3-CA92-437E-B1F6-DA57AFBCCC4C}"/>
    <hyperlink ref="A129" location="'Tareas_Hoy'!C1" tooltip="T20250708-162" display="'Tareas_Hoy'!C1" xr:uid="{18D1B880-172D-443B-983B-CFBC2B8387F5}"/>
    <hyperlink ref="A130" location="'Tareas_Hoy'!C1" tooltip="T20250708-163" display="'Tareas_Hoy'!C1" xr:uid="{16F5C1AE-79DF-4EE3-B0F2-521C65658041}"/>
    <hyperlink ref="A131" location="'Tareas_Hoy'!C1" tooltip="T20250708-164" display="'Tareas_Hoy'!C1" xr:uid="{5D6D3B21-CDD9-41E5-93F8-9925AF8FC9BF}"/>
    <hyperlink ref="A132" location="'Tareas_Hoy'!C1" tooltip="T20250708-165" display="'Tareas_Hoy'!C1" xr:uid="{13DCA8B9-B37B-4F6D-8762-B9304B450F6A}"/>
    <hyperlink ref="A133" location="'Tareas_Hoy'!C1" tooltip="T20250708-166" display="'Tareas_Hoy'!C1" xr:uid="{B6AE7967-5944-4B1A-91E5-46F8A961BA70}"/>
    <hyperlink ref="A134" location="'Tareas_Hoy'!C1" tooltip="T20250708-167" display="'Tareas_Hoy'!C1" xr:uid="{28382343-F5CE-4AFB-9670-AB7BC1ABF2D9}"/>
    <hyperlink ref="A135" location="'Tareas_Hoy'!C1" tooltip="T20250708-169" display="'Tareas_Hoy'!C1" xr:uid="{54F2B398-7B8D-47A9-8225-3C4DE5AB2DBA}"/>
    <hyperlink ref="A136" location="'Tareas_Hoy'!C1" tooltip="T20250708-170" display="'Tareas_Hoy'!C1" xr:uid="{1C1A8A4E-61B2-4ACC-8524-53EB07BC56C1}"/>
    <hyperlink ref="A137" location="'Tareas_Hoy'!C1" tooltip="T20250708-172" display="'Tareas_Hoy'!C1" xr:uid="{FF8ABBE9-115E-4B37-8C1C-D7635BBAC436}"/>
    <hyperlink ref="A138" location="'Tareas_Hoy'!C1" tooltip="T20250708-173" display="'Tareas_Hoy'!C1" xr:uid="{F0974823-E6F5-42B7-9505-85756818D331}"/>
    <hyperlink ref="A139" location="'Tareas_Hoy'!C1" tooltip="T20250708-175" display="'Tareas_Hoy'!C1" xr:uid="{872203D8-61B6-4800-A966-045932D6C8A9}"/>
    <hyperlink ref="A140" location="'Tareas_Hoy'!C1" tooltip="T20250708-176" display="'Tareas_Hoy'!C1" xr:uid="{339C2C7A-3FD3-463A-A4E0-3A69F92A98D9}"/>
    <hyperlink ref="A141" location="'Tareas_Hoy'!C1" tooltip="T20250708-177" display="'Tareas_Hoy'!C1" xr:uid="{740DF473-FEE7-474B-8D49-5AD0A6767182}"/>
    <hyperlink ref="A142" location="'Tareas_Hoy'!C1" tooltip="T20250708-178" display="'Tareas_Hoy'!C1" xr:uid="{3CD55F71-A145-46DF-B985-309B2797CC3C}"/>
    <hyperlink ref="A143" location="'Tareas_Hoy'!C1" tooltip="T20250708-179" display="'Tareas_Hoy'!C1" xr:uid="{C1767A42-0D54-44CF-81E1-E11161940C7F}"/>
    <hyperlink ref="A144" location="'Tareas_Hoy'!C1" tooltip="T20250708-180" display="'Tareas_Hoy'!C1" xr:uid="{E20B746C-E0D5-46A7-AFF2-CCBF347F9473}"/>
    <hyperlink ref="A145" location="'Tareas_Hoy'!C1" tooltip="T20250708-181" display="'Tareas_Hoy'!C1" xr:uid="{42B3D5A7-5EDC-4576-95B9-E1AE81204AFB}"/>
    <hyperlink ref="A146" location="'Tareas_Hoy'!C1" tooltip="T20250708-182" display="'Tareas_Hoy'!C1" xr:uid="{4C2F4EE4-F31B-4225-A227-004C39A276C4}"/>
    <hyperlink ref="A147" location="'Tareas_Hoy'!C1" tooltip="T20250708-183" display="'Tareas_Hoy'!C1" xr:uid="{4EDA17A3-E09C-44C2-B3A9-87176EFDEE21}"/>
    <hyperlink ref="A148" location="'Tareas_Hoy'!C1" tooltip="T20250708-185" display="'Tareas_Hoy'!C1" xr:uid="{4DEE93E7-B133-4A16-9251-ED30B57D7DEA}"/>
    <hyperlink ref="A149" location="'Tareas_Hoy'!C1" tooltip="T20250708-186" display="'Tareas_Hoy'!C1" xr:uid="{DD619857-4BF0-43B0-8922-9174BC08BB3F}"/>
    <hyperlink ref="A150" location="'Tareas_Hoy'!C1" tooltip="T20250708-187" display="'Tareas_Hoy'!C1" xr:uid="{C6060A3F-6438-4AF6-A22A-CE1702B4B6DA}"/>
    <hyperlink ref="A151" location="'Tareas_Hoy'!C1" tooltip="T20250708-188" display="'Tareas_Hoy'!C1" xr:uid="{96EC0521-F343-4AB6-B40A-20C35C07D595}"/>
    <hyperlink ref="A152" location="'Tareas_Hoy'!C1" tooltip="T20250708-189" display="'Tareas_Hoy'!C1" xr:uid="{B62595C3-5DB3-4A92-8887-1D1A499E77F3}"/>
    <hyperlink ref="A153" location="'Tareas_Hoy'!C1" tooltip="T20250708-191" display="'Tareas_Hoy'!C1" xr:uid="{ABB8D8DA-3B5D-49A8-89B0-4137367E2B2E}"/>
    <hyperlink ref="A154" location="'Tareas_Hoy'!C1" tooltip="T20250708-193" display="'Tareas_Hoy'!C1" xr:uid="{35225B17-D7E2-403E-902B-9168D8626715}"/>
    <hyperlink ref="A155" location="'Tareas_Hoy'!C1" tooltip="T20250708-194" display="'Tareas_Hoy'!C1" xr:uid="{3A4D50BB-3CAB-4718-A6B8-CF2FAFE3C4DB}"/>
    <hyperlink ref="A156" location="'Tareas_Hoy'!C1" tooltip="T20250708-196" display="'Tareas_Hoy'!C1" xr:uid="{557E7B64-EAE2-4B7E-B120-F1940BCA741D}"/>
    <hyperlink ref="A157" location="'Tareas_Hoy'!C1" tooltip="T20250708-198" display="'Tareas_Hoy'!C1" xr:uid="{6167F725-C5F6-42DC-B647-DF06321AB6E6}"/>
    <hyperlink ref="A158" location="'Tareas_Hoy'!C1" tooltip="T20250708-200" display="'Tareas_Hoy'!C1" xr:uid="{9E306FDF-164D-40FF-B4AB-4E4D19406A2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98EA5-1333-40BA-9059-F00846AD22F8}">
  <sheetPr codeName="Sheet11"/>
  <dimension ref="A1:F28"/>
  <sheetViews>
    <sheetView topLeftCell="A4" workbookViewId="0">
      <selection activeCell="A4" sqref="A4"/>
    </sheetView>
  </sheetViews>
  <sheetFormatPr defaultRowHeight="14.45"/>
  <cols>
    <col min="1" max="1" width="14.28515625" bestFit="1" customWidth="1"/>
    <col min="2" max="2" width="15.7109375" bestFit="1" customWidth="1"/>
    <col min="3" max="3" width="14.7109375" bestFit="1" customWidth="1"/>
    <col min="4" max="4" width="9.140625" bestFit="1" customWidth="1"/>
    <col min="5" max="5" width="11.85546875" bestFit="1" customWidth="1"/>
    <col min="6" max="6" width="20.42578125" bestFit="1" customWidth="1"/>
  </cols>
  <sheetData>
    <row r="1" spans="1:6">
      <c r="A1" s="64" t="s">
        <v>600</v>
      </c>
    </row>
    <row r="3" spans="1:6">
      <c r="A3" s="11" t="s">
        <v>93</v>
      </c>
      <c r="B3" s="11" t="s">
        <v>443</v>
      </c>
      <c r="C3" s="11" t="s">
        <v>444</v>
      </c>
      <c r="D3" s="11" t="s">
        <v>445</v>
      </c>
      <c r="E3" s="11" t="s">
        <v>446</v>
      </c>
      <c r="F3" s="11" t="s">
        <v>447</v>
      </c>
    </row>
    <row r="4" spans="1:6">
      <c r="A4" s="10" t="s">
        <v>449</v>
      </c>
      <c r="B4" s="1" t="s">
        <v>451</v>
      </c>
      <c r="C4" s="66">
        <v>45778</v>
      </c>
      <c r="D4" s="1" t="s">
        <v>89</v>
      </c>
      <c r="E4" s="1" t="s">
        <v>85</v>
      </c>
      <c r="F4" s="1" t="s">
        <v>601</v>
      </c>
    </row>
    <row r="5" spans="1:6">
      <c r="A5" s="10" t="s">
        <v>490</v>
      </c>
      <c r="B5" s="1" t="s">
        <v>602</v>
      </c>
      <c r="C5" s="66">
        <v>45830</v>
      </c>
      <c r="D5" s="1" t="s">
        <v>89</v>
      </c>
      <c r="E5" s="1" t="s">
        <v>85</v>
      </c>
      <c r="F5" s="1" t="s">
        <v>603</v>
      </c>
    </row>
    <row r="6" spans="1:6">
      <c r="A6" s="10" t="s">
        <v>490</v>
      </c>
      <c r="B6" s="1" t="s">
        <v>602</v>
      </c>
      <c r="C6" s="66">
        <v>45830</v>
      </c>
      <c r="D6" s="1" t="s">
        <v>89</v>
      </c>
      <c r="E6" s="1" t="s">
        <v>84</v>
      </c>
      <c r="F6" s="1" t="s">
        <v>604</v>
      </c>
    </row>
    <row r="7" spans="1:6">
      <c r="A7" s="10" t="s">
        <v>525</v>
      </c>
      <c r="B7" s="1" t="s">
        <v>605</v>
      </c>
      <c r="C7" s="66">
        <v>45830</v>
      </c>
      <c r="D7" s="1" t="s">
        <v>89</v>
      </c>
      <c r="E7" s="1" t="s">
        <v>85</v>
      </c>
      <c r="F7" s="1"/>
    </row>
    <row r="8" spans="1:6">
      <c r="A8" s="10" t="s">
        <v>525</v>
      </c>
      <c r="B8" s="1" t="s">
        <v>605</v>
      </c>
      <c r="C8" s="66">
        <v>45830</v>
      </c>
      <c r="D8" s="1" t="s">
        <v>89</v>
      </c>
      <c r="E8" s="1" t="s">
        <v>84</v>
      </c>
      <c r="F8" s="1"/>
    </row>
    <row r="9" spans="1:6">
      <c r="A9" s="10" t="s">
        <v>461</v>
      </c>
      <c r="B9" s="1" t="s">
        <v>606</v>
      </c>
      <c r="C9" s="66">
        <v>45831</v>
      </c>
      <c r="D9" s="1" t="s">
        <v>88</v>
      </c>
      <c r="E9" s="1" t="s">
        <v>85</v>
      </c>
      <c r="F9" s="1"/>
    </row>
    <row r="10" spans="1:6">
      <c r="A10" s="10" t="s">
        <v>461</v>
      </c>
      <c r="B10" s="1" t="s">
        <v>606</v>
      </c>
      <c r="C10" s="66">
        <v>45831</v>
      </c>
      <c r="D10" s="1" t="s">
        <v>88</v>
      </c>
      <c r="E10" s="1" t="s">
        <v>84</v>
      </c>
      <c r="F10" s="1"/>
    </row>
    <row r="11" spans="1:6">
      <c r="A11" s="10" t="s">
        <v>461</v>
      </c>
      <c r="B11" s="1" t="s">
        <v>607</v>
      </c>
      <c r="C11" s="66">
        <v>45831</v>
      </c>
      <c r="D11" s="1" t="s">
        <v>89</v>
      </c>
      <c r="E11" s="1" t="s">
        <v>7</v>
      </c>
      <c r="F11" s="1"/>
    </row>
    <row r="12" spans="1:6">
      <c r="A12" s="10" t="s">
        <v>477</v>
      </c>
      <c r="B12" s="1" t="s">
        <v>608</v>
      </c>
      <c r="C12" s="66">
        <v>45831</v>
      </c>
      <c r="D12" s="1" t="s">
        <v>89</v>
      </c>
      <c r="E12" s="1" t="s">
        <v>7</v>
      </c>
      <c r="F12" s="1"/>
    </row>
    <row r="13" spans="1:6">
      <c r="A13" s="10" t="s">
        <v>486</v>
      </c>
      <c r="B13" s="1" t="s">
        <v>488</v>
      </c>
      <c r="C13" s="66">
        <v>45831</v>
      </c>
      <c r="D13" s="1" t="s">
        <v>89</v>
      </c>
      <c r="E13" s="1" t="s">
        <v>85</v>
      </c>
      <c r="F13" s="1"/>
    </row>
    <row r="16" spans="1:6">
      <c r="A16" s="64" t="s">
        <v>441</v>
      </c>
    </row>
    <row r="17" spans="1:2">
      <c r="A17" s="60" t="s">
        <v>80</v>
      </c>
      <c r="B17" t="s">
        <v>448</v>
      </c>
    </row>
    <row r="18" spans="1:2">
      <c r="A18" s="61" t="s">
        <v>7</v>
      </c>
      <c r="B18" s="65"/>
    </row>
    <row r="19" spans="1:2">
      <c r="A19" s="62" t="s">
        <v>452</v>
      </c>
      <c r="B19" s="65"/>
    </row>
    <row r="20" spans="1:2">
      <c r="A20" s="61" t="s">
        <v>83</v>
      </c>
      <c r="B20" s="65">
        <v>0</v>
      </c>
    </row>
    <row r="21" spans="1:2">
      <c r="A21" s="62" t="s">
        <v>452</v>
      </c>
      <c r="B21" s="65">
        <v>0</v>
      </c>
    </row>
    <row r="22" spans="1:2">
      <c r="A22" s="61" t="s">
        <v>84</v>
      </c>
      <c r="B22" s="65"/>
    </row>
    <row r="23" spans="1:2">
      <c r="A23" s="62" t="s">
        <v>452</v>
      </c>
      <c r="B23" s="65"/>
    </row>
    <row r="24" spans="1:2">
      <c r="A24" s="61" t="s">
        <v>85</v>
      </c>
      <c r="B24" s="65">
        <v>7</v>
      </c>
    </row>
    <row r="25" spans="1:2">
      <c r="A25" s="62" t="s">
        <v>452</v>
      </c>
      <c r="B25" s="65">
        <v>7</v>
      </c>
    </row>
    <row r="26" spans="1:2">
      <c r="A26" s="61" t="s">
        <v>452</v>
      </c>
      <c r="B26" s="65"/>
    </row>
    <row r="27" spans="1:2">
      <c r="A27" s="62" t="s">
        <v>452</v>
      </c>
      <c r="B27" s="65"/>
    </row>
    <row r="28" spans="1:2">
      <c r="A28" s="61" t="s">
        <v>86</v>
      </c>
      <c r="B28" s="65">
        <v>0.15555555555555556</v>
      </c>
    </row>
  </sheetData>
  <hyperlinks>
    <hyperlink ref="A4" location="'Analisis_Detallado'!A4" tooltip="T20250501-1" display="'Analisis_Detallado'!A4" xr:uid="{D305BC3C-C4AB-4263-980C-2A30BAD71D78}"/>
    <hyperlink ref="A5" location="'Analisis_Detallado'!A5" tooltip="T20250622-14" display="'Analisis_Detallado'!A5" xr:uid="{BC5F27AC-0557-4E0B-A716-FA253482E727}"/>
    <hyperlink ref="A6" location="'Analisis_Detallado'!A6" tooltip="T20250622-15" display="'Analisis_Detallado'!A6" xr:uid="{0B3772A0-C0E1-427F-93F6-98456E95B030}"/>
    <hyperlink ref="A7" location="'Analisis_Detallado'!A7" tooltip="T20250622-16" display="'Analisis_Detallado'!A7" xr:uid="{A8DBB165-A479-4B4C-9F2C-57D4AAD4FE42}"/>
    <hyperlink ref="A8" location="'Analisis_Detallado'!A8" tooltip="T20250622-17" display="'Analisis_Detallado'!A8" xr:uid="{967E3ADD-FDCE-46B3-9A74-B7AEC59479D7}"/>
    <hyperlink ref="A9" location="'Analisis_Detallado'!A9" tooltip="T20250623-17" display="'Analisis_Detallado'!A9" xr:uid="{BB8463FF-AE81-40A1-9071-4317DF7BD935}"/>
    <hyperlink ref="A10" location="'Analisis_Detallado'!A10" tooltip="T20250623-18" display="'Analisis_Detallado'!A10" xr:uid="{0ADDB625-9D86-4D87-8431-83EC5C6ED090}"/>
    <hyperlink ref="A11" location="'Analisis_Detallado'!A11" tooltip="T20250623-19" display="'Analisis_Detallado'!A11" xr:uid="{1021EE38-939F-4151-90B4-8E3E6305C485}"/>
    <hyperlink ref="A12" location="'Analisis_Detallado'!A12" tooltip="T20250623-20" display="'Analisis_Detallado'!A12" xr:uid="{D3320E2B-AF94-4D25-94E0-CD46A485AA7C}"/>
    <hyperlink ref="A13" location="'Analisis_Detallado'!A13" tooltip="T20250623-21" display="'Analisis_Detallado'!A13" xr:uid="{FE6629AF-6441-4407-B4F7-3DB388DF833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431B6-062E-4035-8EAA-1C649A4DD789}">
  <sheetPr codeName="Sheet2"/>
  <dimension ref="A1:CG285"/>
  <sheetViews>
    <sheetView topLeftCell="G1" workbookViewId="0">
      <selection activeCell="G2" sqref="G2"/>
    </sheetView>
  </sheetViews>
  <sheetFormatPr defaultRowHeight="14.45" outlineLevelCol="1"/>
  <cols>
    <col min="1" max="1" width="13.28515625" hidden="1" customWidth="1" outlineLevel="1"/>
    <col min="2" max="2" width="22.140625" hidden="1" customWidth="1" outlineLevel="1"/>
    <col min="3" max="3" width="8.85546875" hidden="1" customWidth="1" outlineLevel="1"/>
    <col min="4" max="4" width="13.28515625" style="59" hidden="1" customWidth="1" outlineLevel="1"/>
    <col min="5" max="5" width="20.5703125" hidden="1" customWidth="1" outlineLevel="1"/>
    <col min="6" max="6" width="8.85546875" hidden="1" customWidth="1" outlineLevel="1"/>
    <col min="7" max="7" width="14.42578125" customWidth="1" collapsed="1"/>
    <col min="8" max="11" width="14.42578125" customWidth="1"/>
    <col min="12" max="12" width="26.7109375" customWidth="1"/>
    <col min="13" max="13" width="133.140625" customWidth="1"/>
    <col min="14" max="72" width="4.28515625" customWidth="1"/>
    <col min="76" max="76" width="110.7109375" customWidth="1"/>
    <col min="78" max="78" width="10.28515625" style="59" bestFit="1" customWidth="1"/>
    <col min="80" max="80" width="50.7109375" customWidth="1"/>
    <col min="81" max="82" width="71.7109375" customWidth="1"/>
    <col min="84" max="84" width="9.7109375" bestFit="1" customWidth="1"/>
    <col min="85" max="85" width="71.7109375" customWidth="1"/>
  </cols>
  <sheetData>
    <row r="1" spans="1:85" ht="14.45" customHeight="1">
      <c r="A1" s="2" t="s">
        <v>609</v>
      </c>
      <c r="B1" s="2" t="s">
        <v>610</v>
      </c>
      <c r="D1" s="5" t="s">
        <v>611</v>
      </c>
      <c r="E1" s="5" t="s">
        <v>612</v>
      </c>
      <c r="G1" s="98" t="s">
        <v>83</v>
      </c>
      <c r="H1" s="99" t="s">
        <v>85</v>
      </c>
      <c r="I1" s="99" t="s">
        <v>84</v>
      </c>
      <c r="J1" s="99" t="s">
        <v>613</v>
      </c>
      <c r="K1" s="100" t="s">
        <v>7</v>
      </c>
      <c r="L1" s="109"/>
      <c r="M1" s="64"/>
      <c r="N1" s="67" t="s">
        <v>449</v>
      </c>
      <c r="O1" s="67" t="s">
        <v>455</v>
      </c>
      <c r="P1" s="67" t="s">
        <v>461</v>
      </c>
      <c r="Q1" s="67" t="s">
        <v>463</v>
      </c>
      <c r="R1" s="67" t="s">
        <v>469</v>
      </c>
      <c r="S1" s="67" t="s">
        <v>473</v>
      </c>
      <c r="T1" s="67" t="s">
        <v>475</v>
      </c>
      <c r="U1" s="67" t="s">
        <v>477</v>
      </c>
      <c r="V1" s="67" t="s">
        <v>479</v>
      </c>
      <c r="W1" s="67" t="s">
        <v>614</v>
      </c>
      <c r="X1" s="67" t="s">
        <v>486</v>
      </c>
      <c r="Y1" s="67" t="s">
        <v>490</v>
      </c>
      <c r="Z1" s="67" t="s">
        <v>494</v>
      </c>
      <c r="AA1" s="67" t="s">
        <v>496</v>
      </c>
      <c r="AB1" s="67" t="s">
        <v>498</v>
      </c>
      <c r="AC1" s="67" t="s">
        <v>615</v>
      </c>
      <c r="AD1" s="67" t="s">
        <v>616</v>
      </c>
      <c r="AE1" s="67" t="s">
        <v>500</v>
      </c>
      <c r="AF1" s="67" t="s">
        <v>502</v>
      </c>
      <c r="AG1" s="67" t="s">
        <v>504</v>
      </c>
      <c r="AH1" s="67" t="s">
        <v>506</v>
      </c>
      <c r="AI1" s="67" t="s">
        <v>617</v>
      </c>
      <c r="AJ1" s="67" t="s">
        <v>508</v>
      </c>
      <c r="AK1" s="67" t="s">
        <v>618</v>
      </c>
      <c r="AL1" s="67" t="s">
        <v>512</v>
      </c>
      <c r="AM1" s="67" t="s">
        <v>523</v>
      </c>
      <c r="AN1" s="67" t="s">
        <v>525</v>
      </c>
      <c r="AO1" s="67" t="s">
        <v>527</v>
      </c>
      <c r="AP1" s="67" t="s">
        <v>531</v>
      </c>
      <c r="AQ1" s="67" t="s">
        <v>534</v>
      </c>
      <c r="AR1" s="67" t="s">
        <v>619</v>
      </c>
      <c r="AS1" s="67" t="s">
        <v>536</v>
      </c>
      <c r="AT1" s="67" t="s">
        <v>539</v>
      </c>
      <c r="AU1" s="67" t="s">
        <v>620</v>
      </c>
      <c r="AV1" s="67" t="s">
        <v>541</v>
      </c>
      <c r="AW1" s="67" t="s">
        <v>549</v>
      </c>
      <c r="AX1" s="67" t="s">
        <v>621</v>
      </c>
      <c r="AY1" s="67" t="s">
        <v>552</v>
      </c>
      <c r="AZ1" s="67" t="s">
        <v>557</v>
      </c>
      <c r="BA1" s="67" t="s">
        <v>559</v>
      </c>
      <c r="BB1" s="67" t="s">
        <v>561</v>
      </c>
      <c r="BC1" s="67" t="s">
        <v>564</v>
      </c>
      <c r="BD1" s="67" t="s">
        <v>566</v>
      </c>
      <c r="BE1" s="67" t="s">
        <v>568</v>
      </c>
      <c r="BF1" s="67" t="s">
        <v>570</v>
      </c>
      <c r="BG1" s="67" t="s">
        <v>572</v>
      </c>
      <c r="BH1" s="67" t="s">
        <v>622</v>
      </c>
      <c r="BI1" s="67" t="s">
        <v>574</v>
      </c>
      <c r="BJ1" s="67" t="s">
        <v>576</v>
      </c>
      <c r="BK1" s="67" t="s">
        <v>579</v>
      </c>
      <c r="BL1" s="67" t="s">
        <v>581</v>
      </c>
      <c r="BM1" s="67" t="s">
        <v>583</v>
      </c>
      <c r="BN1" s="67" t="s">
        <v>585</v>
      </c>
      <c r="BO1" s="67" t="s">
        <v>623</v>
      </c>
      <c r="BP1" s="67" t="s">
        <v>589</v>
      </c>
      <c r="BQ1" s="67" t="s">
        <v>591</v>
      </c>
      <c r="BR1" s="67" t="s">
        <v>594</v>
      </c>
      <c r="BS1" s="67" t="s">
        <v>596</v>
      </c>
      <c r="BT1" s="67" t="s">
        <v>598</v>
      </c>
      <c r="BU1" t="s">
        <v>624</v>
      </c>
      <c r="BW1" s="68" t="s">
        <v>625</v>
      </c>
      <c r="BX1" s="71" t="s">
        <v>626</v>
      </c>
      <c r="BZ1" s="5" t="s">
        <v>93</v>
      </c>
      <c r="CA1" s="2" t="s">
        <v>627</v>
      </c>
      <c r="CB1" s="55" t="s">
        <v>628</v>
      </c>
      <c r="CC1" s="55" t="s">
        <v>629</v>
      </c>
      <c r="CD1" s="71" t="s">
        <v>626</v>
      </c>
      <c r="CF1" s="56" t="s">
        <v>630</v>
      </c>
      <c r="CG1" s="55" t="s">
        <v>631</v>
      </c>
    </row>
    <row r="2" spans="1:85" ht="61.9" customHeight="1">
      <c r="A2" s="95" t="s">
        <v>613</v>
      </c>
      <c r="B2" s="74" t="str">
        <f>+IF(J2="","No","Sí")</f>
        <v>No</v>
      </c>
      <c r="C2" s="119"/>
      <c r="D2" s="74" t="s">
        <v>83</v>
      </c>
      <c r="E2" s="74" t="s">
        <v>632</v>
      </c>
      <c r="G2" s="110"/>
      <c r="H2" s="86"/>
      <c r="I2" s="86"/>
      <c r="J2" s="86"/>
      <c r="K2" s="111"/>
      <c r="L2" s="109" t="s">
        <v>633</v>
      </c>
      <c r="N2" s="1" t="s">
        <v>98</v>
      </c>
      <c r="O2" s="1" t="s">
        <v>105</v>
      </c>
      <c r="P2" s="1" t="s">
        <v>111</v>
      </c>
      <c r="Q2" s="1" t="s">
        <v>117</v>
      </c>
      <c r="R2" s="1" t="s">
        <v>123</v>
      </c>
      <c r="S2" s="1" t="s">
        <v>131</v>
      </c>
      <c r="T2" s="1" t="s">
        <v>137</v>
      </c>
      <c r="U2" s="1" t="s">
        <v>143</v>
      </c>
      <c r="V2" s="1" t="s">
        <v>150</v>
      </c>
      <c r="W2" s="1" t="s">
        <v>160</v>
      </c>
      <c r="X2" s="1" t="s">
        <v>163</v>
      </c>
      <c r="Y2" s="1" t="s">
        <v>168</v>
      </c>
      <c r="Z2" s="1" t="s">
        <v>173</v>
      </c>
      <c r="AA2" s="1" t="s">
        <v>177</v>
      </c>
      <c r="AB2" s="1" t="s">
        <v>180</v>
      </c>
      <c r="AC2" s="1" t="s">
        <v>184</v>
      </c>
      <c r="AD2" s="1" t="s">
        <v>188</v>
      </c>
      <c r="AE2" s="1" t="s">
        <v>192</v>
      </c>
      <c r="AF2" s="1" t="s">
        <v>196</v>
      </c>
      <c r="AG2" s="1" t="s">
        <v>200</v>
      </c>
      <c r="AH2" s="1" t="s">
        <v>206</v>
      </c>
      <c r="AI2" s="1" t="s">
        <v>210</v>
      </c>
      <c r="AJ2" s="1" t="s">
        <v>383</v>
      </c>
      <c r="AK2" s="1" t="s">
        <v>392</v>
      </c>
      <c r="AL2" s="1" t="s">
        <v>398</v>
      </c>
      <c r="AM2" s="1" t="s">
        <v>405</v>
      </c>
      <c r="AN2" s="1" t="s">
        <v>410</v>
      </c>
      <c r="AO2" s="1" t="s">
        <v>418</v>
      </c>
      <c r="AP2" s="1" t="s">
        <v>424</v>
      </c>
      <c r="AQ2" s="1" t="s">
        <v>429</v>
      </c>
      <c r="AR2" s="1" t="s">
        <v>436</v>
      </c>
      <c r="AS2" s="1" t="s">
        <v>215</v>
      </c>
      <c r="AT2" s="1" t="s">
        <v>221</v>
      </c>
      <c r="AU2" s="1" t="s">
        <v>225</v>
      </c>
      <c r="AV2" s="1" t="s">
        <v>230</v>
      </c>
      <c r="AW2" s="1" t="s">
        <v>237</v>
      </c>
      <c r="AX2" s="1" t="s">
        <v>241</v>
      </c>
      <c r="AY2" s="1" t="s">
        <v>246</v>
      </c>
      <c r="AZ2" s="1" t="s">
        <v>252</v>
      </c>
      <c r="BA2" s="1" t="s">
        <v>262</v>
      </c>
      <c r="BB2" s="1" t="s">
        <v>268</v>
      </c>
      <c r="BC2" s="1" t="s">
        <v>275</v>
      </c>
      <c r="BD2" s="1" t="s">
        <v>278</v>
      </c>
      <c r="BE2" s="1" t="s">
        <v>283</v>
      </c>
      <c r="BF2" s="1" t="s">
        <v>287</v>
      </c>
      <c r="BG2" s="1" t="s">
        <v>302</v>
      </c>
      <c r="BH2" s="1" t="s">
        <v>312</v>
      </c>
      <c r="BI2" s="1" t="s">
        <v>316</v>
      </c>
      <c r="BJ2" s="1" t="s">
        <v>323</v>
      </c>
      <c r="BK2" s="1" t="s">
        <v>329</v>
      </c>
      <c r="BL2" s="1" t="s">
        <v>335</v>
      </c>
      <c r="BM2" s="1" t="s">
        <v>339</v>
      </c>
      <c r="BN2" s="1" t="s">
        <v>345</v>
      </c>
      <c r="BO2" s="1" t="s">
        <v>349</v>
      </c>
      <c r="BP2" s="1" t="s">
        <v>353</v>
      </c>
      <c r="BQ2" s="1" t="s">
        <v>358</v>
      </c>
      <c r="BR2" s="1" t="s">
        <v>362</v>
      </c>
      <c r="BS2" s="1" t="s">
        <v>368</v>
      </c>
      <c r="BT2" s="1" t="s">
        <v>376</v>
      </c>
      <c r="BU2" t="s">
        <v>624</v>
      </c>
      <c r="BW2" s="69" t="s">
        <v>634</v>
      </c>
      <c r="BX2" s="72" t="s">
        <v>635</v>
      </c>
      <c r="BZ2" s="6" t="str">
        <f>+LEFT(CA2,3)</f>
        <v>L01</v>
      </c>
      <c r="CA2" s="4" t="s">
        <v>636</v>
      </c>
      <c r="CB2" s="57" t="s">
        <v>450</v>
      </c>
      <c r="CC2" s="57" t="s">
        <v>637</v>
      </c>
      <c r="CD2" s="57" t="s">
        <v>102</v>
      </c>
      <c r="CF2" s="3" t="str">
        <f>+LEFT(CG2,3)</f>
        <v>L01</v>
      </c>
      <c r="CG2" s="57" t="s">
        <v>638</v>
      </c>
    </row>
    <row r="3" spans="1:85" ht="61.9" customHeight="1">
      <c r="A3" s="119"/>
      <c r="B3" s="119"/>
      <c r="C3" s="119"/>
      <c r="D3" s="74" t="s">
        <v>85</v>
      </c>
      <c r="E3" s="74" t="s">
        <v>632</v>
      </c>
      <c r="G3" s="110"/>
      <c r="H3" s="86"/>
      <c r="I3" s="86"/>
      <c r="J3" s="86"/>
      <c r="K3" s="111"/>
      <c r="L3" s="109"/>
      <c r="N3" s="1" t="s">
        <v>101</v>
      </c>
      <c r="O3" s="1" t="s">
        <v>106</v>
      </c>
      <c r="P3" s="1" t="s">
        <v>112</v>
      </c>
      <c r="Q3" s="1" t="s">
        <v>118</v>
      </c>
      <c r="R3" s="1" t="s">
        <v>124</v>
      </c>
      <c r="S3" s="1" t="s">
        <v>132</v>
      </c>
      <c r="T3" s="1" t="s">
        <v>138</v>
      </c>
      <c r="U3" s="1" t="s">
        <v>144</v>
      </c>
      <c r="V3" s="1" t="s">
        <v>151</v>
      </c>
      <c r="W3" s="1" t="s">
        <v>161</v>
      </c>
      <c r="X3" s="1" t="s">
        <v>164</v>
      </c>
      <c r="Y3" s="1" t="s">
        <v>169</v>
      </c>
      <c r="Z3" s="1" t="s">
        <v>174</v>
      </c>
      <c r="AA3" s="1" t="s">
        <v>178</v>
      </c>
      <c r="AB3" s="1" t="s">
        <v>181</v>
      </c>
      <c r="AC3" s="1" t="s">
        <v>185</v>
      </c>
      <c r="AD3" s="1" t="s">
        <v>189</v>
      </c>
      <c r="AE3" s="1" t="s">
        <v>193</v>
      </c>
      <c r="AF3" s="1" t="s">
        <v>197</v>
      </c>
      <c r="AG3" s="1" t="s">
        <v>201</v>
      </c>
      <c r="AH3" s="1" t="s">
        <v>207</v>
      </c>
      <c r="AI3" s="1" t="s">
        <v>211</v>
      </c>
      <c r="AJ3" s="1" t="s">
        <v>384</v>
      </c>
      <c r="AK3" s="1" t="s">
        <v>393</v>
      </c>
      <c r="AL3" s="1" t="s">
        <v>399</v>
      </c>
      <c r="AM3" s="1" t="s">
        <v>406</v>
      </c>
      <c r="AN3" s="1" t="s">
        <v>411</v>
      </c>
      <c r="AO3" s="1" t="s">
        <v>419</v>
      </c>
      <c r="AP3" s="1" t="s">
        <v>425</v>
      </c>
      <c r="AQ3" s="1" t="s">
        <v>430</v>
      </c>
      <c r="AR3" s="1" t="s">
        <v>437</v>
      </c>
      <c r="AS3" s="1" t="s">
        <v>216</v>
      </c>
      <c r="AT3" s="1" t="s">
        <v>222</v>
      </c>
      <c r="AU3" s="1" t="s">
        <v>226</v>
      </c>
      <c r="AV3" s="1" t="s">
        <v>231</v>
      </c>
      <c r="AW3" s="1" t="s">
        <v>238</v>
      </c>
      <c r="AX3" s="1" t="s">
        <v>242</v>
      </c>
      <c r="AY3" s="1" t="s">
        <v>247</v>
      </c>
      <c r="AZ3" s="1" t="s">
        <v>253</v>
      </c>
      <c r="BA3" s="1" t="s">
        <v>263</v>
      </c>
      <c r="BB3" s="1" t="s">
        <v>269</v>
      </c>
      <c r="BC3" s="1" t="s">
        <v>276</v>
      </c>
      <c r="BD3" s="1" t="s">
        <v>279</v>
      </c>
      <c r="BE3" s="1" t="s">
        <v>284</v>
      </c>
      <c r="BF3" s="1" t="s">
        <v>288</v>
      </c>
      <c r="BG3" s="1" t="s">
        <v>303</v>
      </c>
      <c r="BH3" s="1" t="s">
        <v>313</v>
      </c>
      <c r="BI3" s="1" t="s">
        <v>317</v>
      </c>
      <c r="BJ3" s="1" t="s">
        <v>324</v>
      </c>
      <c r="BK3" s="1" t="s">
        <v>330</v>
      </c>
      <c r="BL3" s="1" t="s">
        <v>330</v>
      </c>
      <c r="BM3" s="1" t="s">
        <v>340</v>
      </c>
      <c r="BN3" s="1" t="s">
        <v>346</v>
      </c>
      <c r="BO3" s="1" t="s">
        <v>350</v>
      </c>
      <c r="BP3" s="1" t="s">
        <v>354</v>
      </c>
      <c r="BQ3" s="1" t="s">
        <v>359</v>
      </c>
      <c r="BR3" s="1" t="s">
        <v>363</v>
      </c>
      <c r="BS3" s="1" t="s">
        <v>369</v>
      </c>
      <c r="BT3" s="1" t="s">
        <v>377</v>
      </c>
      <c r="BU3" t="s">
        <v>624</v>
      </c>
      <c r="BW3" s="69" t="s">
        <v>634</v>
      </c>
      <c r="BX3" s="72" t="s">
        <v>639</v>
      </c>
      <c r="BZ3" s="6" t="str">
        <f t="shared" ref="BZ3:BZ66" si="0">+LEFT(CA3,3)</f>
        <v>L01</v>
      </c>
      <c r="CA3" s="4" t="s">
        <v>640</v>
      </c>
      <c r="CB3" s="57" t="s">
        <v>451</v>
      </c>
      <c r="CC3" s="57" t="s">
        <v>641</v>
      </c>
      <c r="CD3" s="57" t="s">
        <v>101</v>
      </c>
      <c r="CF3" s="3" t="str">
        <f t="shared" ref="CF3:CF60" si="1">+LEFT(CG3,3)</f>
        <v>L02</v>
      </c>
      <c r="CG3" s="57" t="s">
        <v>642</v>
      </c>
    </row>
    <row r="4" spans="1:85" ht="61.9" customHeight="1">
      <c r="A4" s="119"/>
      <c r="B4" s="119"/>
      <c r="C4" s="119"/>
      <c r="D4" s="74" t="s">
        <v>84</v>
      </c>
      <c r="E4" s="74" t="s">
        <v>632</v>
      </c>
      <c r="G4" s="110"/>
      <c r="H4" s="86"/>
      <c r="I4" s="86"/>
      <c r="J4" s="86"/>
      <c r="K4" s="111"/>
      <c r="L4" s="109"/>
      <c r="N4" s="1" t="s">
        <v>102</v>
      </c>
      <c r="O4" s="1" t="s">
        <v>107</v>
      </c>
      <c r="P4" s="1" t="s">
        <v>113</v>
      </c>
      <c r="Q4" s="1" t="s">
        <v>119</v>
      </c>
      <c r="R4" s="1" t="s">
        <v>125</v>
      </c>
      <c r="S4" s="1" t="s">
        <v>133</v>
      </c>
      <c r="T4" s="1" t="s">
        <v>139</v>
      </c>
      <c r="U4" s="1" t="s">
        <v>145</v>
      </c>
      <c r="V4" s="1" t="s">
        <v>152</v>
      </c>
      <c r="W4" s="1"/>
      <c r="X4" s="1" t="s">
        <v>165</v>
      </c>
      <c r="Y4" s="1" t="s">
        <v>170</v>
      </c>
      <c r="Z4" s="1" t="s">
        <v>175</v>
      </c>
      <c r="AA4" s="1"/>
      <c r="AB4" s="1" t="s">
        <v>182</v>
      </c>
      <c r="AC4" s="1" t="s">
        <v>186</v>
      </c>
      <c r="AD4" s="1" t="s">
        <v>190</v>
      </c>
      <c r="AE4" s="1" t="s">
        <v>194</v>
      </c>
      <c r="AF4" s="1" t="s">
        <v>198</v>
      </c>
      <c r="AG4" s="1" t="s">
        <v>202</v>
      </c>
      <c r="AH4" s="1" t="s">
        <v>208</v>
      </c>
      <c r="AI4" s="1" t="s">
        <v>212</v>
      </c>
      <c r="AJ4" s="1" t="s">
        <v>385</v>
      </c>
      <c r="AK4" s="1" t="s">
        <v>394</v>
      </c>
      <c r="AL4" s="1" t="s">
        <v>400</v>
      </c>
      <c r="AM4" s="1" t="s">
        <v>407</v>
      </c>
      <c r="AN4" s="1" t="s">
        <v>412</v>
      </c>
      <c r="AO4" s="1" t="s">
        <v>420</v>
      </c>
      <c r="AP4" s="1" t="s">
        <v>426</v>
      </c>
      <c r="AQ4" s="1" t="s">
        <v>431</v>
      </c>
      <c r="AR4" s="1" t="s">
        <v>438</v>
      </c>
      <c r="AS4" s="1" t="s">
        <v>217</v>
      </c>
      <c r="AT4" s="1" t="s">
        <v>223</v>
      </c>
      <c r="AU4" s="1" t="s">
        <v>227</v>
      </c>
      <c r="AV4" s="1" t="s">
        <v>232</v>
      </c>
      <c r="AW4" s="1" t="s">
        <v>239</v>
      </c>
      <c r="AX4" s="1" t="s">
        <v>243</v>
      </c>
      <c r="AY4" s="1" t="s">
        <v>248</v>
      </c>
      <c r="AZ4" s="1" t="s">
        <v>254</v>
      </c>
      <c r="BA4" s="1" t="s">
        <v>264</v>
      </c>
      <c r="BB4" s="1" t="s">
        <v>270</v>
      </c>
      <c r="BC4" s="1"/>
      <c r="BD4" s="1" t="s">
        <v>280</v>
      </c>
      <c r="BE4" s="1" t="s">
        <v>285</v>
      </c>
      <c r="BF4" s="1" t="s">
        <v>289</v>
      </c>
      <c r="BG4" s="1" t="s">
        <v>304</v>
      </c>
      <c r="BH4" s="1" t="s">
        <v>314</v>
      </c>
      <c r="BI4" s="1" t="s">
        <v>318</v>
      </c>
      <c r="BJ4" s="1" t="s">
        <v>325</v>
      </c>
      <c r="BK4" s="1" t="s">
        <v>331</v>
      </c>
      <c r="BL4" s="1" t="s">
        <v>336</v>
      </c>
      <c r="BM4" s="1" t="s">
        <v>341</v>
      </c>
      <c r="BN4" s="1" t="s">
        <v>347</v>
      </c>
      <c r="BO4" s="1" t="s">
        <v>351</v>
      </c>
      <c r="BP4" s="1" t="s">
        <v>355</v>
      </c>
      <c r="BQ4" s="1" t="s">
        <v>360</v>
      </c>
      <c r="BR4" s="1" t="s">
        <v>364</v>
      </c>
      <c r="BS4" s="1" t="s">
        <v>370</v>
      </c>
      <c r="BT4" s="1" t="s">
        <v>378</v>
      </c>
      <c r="BU4" t="s">
        <v>624</v>
      </c>
      <c r="BW4" s="69" t="s">
        <v>634</v>
      </c>
      <c r="BX4" s="72" t="s">
        <v>643</v>
      </c>
      <c r="BZ4" s="6" t="str">
        <f t="shared" si="0"/>
        <v>L01</v>
      </c>
      <c r="CA4" s="4" t="s">
        <v>644</v>
      </c>
      <c r="CB4" s="57" t="s">
        <v>453</v>
      </c>
      <c r="CC4" s="57" t="s">
        <v>645</v>
      </c>
      <c r="CD4" s="57" t="s">
        <v>98</v>
      </c>
      <c r="CF4" s="3" t="str">
        <f t="shared" si="1"/>
        <v>L03</v>
      </c>
      <c r="CG4" s="57" t="s">
        <v>646</v>
      </c>
    </row>
    <row r="5" spans="1:85" ht="61.9" customHeight="1">
      <c r="A5" s="119"/>
      <c r="B5" s="119"/>
      <c r="C5" s="119"/>
      <c r="D5" s="74" t="s">
        <v>613</v>
      </c>
      <c r="E5" s="74" t="str">
        <f>+B2</f>
        <v>No</v>
      </c>
      <c r="G5" s="112"/>
      <c r="H5" s="85"/>
      <c r="I5" s="85"/>
      <c r="J5" s="85"/>
      <c r="K5" s="113"/>
      <c r="N5" s="1"/>
      <c r="O5" s="1" t="s">
        <v>108</v>
      </c>
      <c r="P5" s="1" t="s">
        <v>115</v>
      </c>
      <c r="Q5" s="1" t="s">
        <v>120</v>
      </c>
      <c r="R5" s="1" t="s">
        <v>126</v>
      </c>
      <c r="S5" s="1" t="s">
        <v>134</v>
      </c>
      <c r="T5" s="1" t="s">
        <v>140</v>
      </c>
      <c r="U5" s="1" t="s">
        <v>146</v>
      </c>
      <c r="V5" s="1" t="s">
        <v>153</v>
      </c>
      <c r="W5" s="1"/>
      <c r="X5" s="1" t="s">
        <v>166</v>
      </c>
      <c r="Y5" s="1" t="s">
        <v>171</v>
      </c>
      <c r="Z5" s="1"/>
      <c r="AA5" s="1"/>
      <c r="AB5" s="1"/>
      <c r="AC5" s="1"/>
      <c r="AD5" s="1"/>
      <c r="AE5" s="1"/>
      <c r="AF5" s="1"/>
      <c r="AG5" s="1" t="s">
        <v>203</v>
      </c>
      <c r="AH5" s="1"/>
      <c r="AI5" s="1" t="s">
        <v>213</v>
      </c>
      <c r="AJ5" s="1" t="s">
        <v>386</v>
      </c>
      <c r="AK5" s="1" t="s">
        <v>395</v>
      </c>
      <c r="AL5" s="1" t="s">
        <v>401</v>
      </c>
      <c r="AM5" s="1" t="s">
        <v>408</v>
      </c>
      <c r="AN5" s="1" t="s">
        <v>413</v>
      </c>
      <c r="AO5" s="1" t="s">
        <v>421</v>
      </c>
      <c r="AP5" s="1" t="s">
        <v>427</v>
      </c>
      <c r="AQ5" s="1" t="s">
        <v>432</v>
      </c>
      <c r="AR5" s="1" t="s">
        <v>439</v>
      </c>
      <c r="AS5" s="1" t="s">
        <v>218</v>
      </c>
      <c r="AT5" s="1"/>
      <c r="AU5" s="1" t="s">
        <v>228</v>
      </c>
      <c r="AV5" s="1" t="s">
        <v>233</v>
      </c>
      <c r="AW5" s="1"/>
      <c r="AX5" s="1" t="s">
        <v>244</v>
      </c>
      <c r="AY5" s="1" t="s">
        <v>249</v>
      </c>
      <c r="AZ5" s="1" t="s">
        <v>255</v>
      </c>
      <c r="BA5" s="1" t="s">
        <v>265</v>
      </c>
      <c r="BB5" s="1" t="s">
        <v>271</v>
      </c>
      <c r="BC5" s="1"/>
      <c r="BD5" s="1" t="s">
        <v>281</v>
      </c>
      <c r="BE5" s="1"/>
      <c r="BF5" s="1" t="s">
        <v>290</v>
      </c>
      <c r="BG5" s="1" t="s">
        <v>305</v>
      </c>
      <c r="BH5" s="1"/>
      <c r="BI5" s="1" t="s">
        <v>319</v>
      </c>
      <c r="BJ5" s="1" t="s">
        <v>326</v>
      </c>
      <c r="BK5" s="1" t="s">
        <v>332</v>
      </c>
      <c r="BL5" s="1" t="s">
        <v>332</v>
      </c>
      <c r="BM5" s="1" t="s">
        <v>342</v>
      </c>
      <c r="BN5" s="1"/>
      <c r="BO5" s="1"/>
      <c r="BP5" s="1" t="s">
        <v>356</v>
      </c>
      <c r="BQ5" s="1"/>
      <c r="BR5" s="1" t="s">
        <v>365</v>
      </c>
      <c r="BS5" s="1" t="s">
        <v>371</v>
      </c>
      <c r="BT5" s="1" t="s">
        <v>379</v>
      </c>
      <c r="BU5" t="s">
        <v>624</v>
      </c>
      <c r="BW5" s="70" t="s">
        <v>647</v>
      </c>
      <c r="BX5" s="73" t="s">
        <v>648</v>
      </c>
      <c r="BZ5" s="6" t="str">
        <f t="shared" si="0"/>
        <v>L01</v>
      </c>
      <c r="CA5" s="4" t="s">
        <v>649</v>
      </c>
      <c r="CB5" s="57" t="s">
        <v>650</v>
      </c>
      <c r="CC5" s="57" t="s">
        <v>651</v>
      </c>
      <c r="CD5" s="57" t="s">
        <v>102</v>
      </c>
      <c r="CF5" s="3" t="str">
        <f t="shared" si="1"/>
        <v>L04</v>
      </c>
      <c r="CG5" s="57" t="s">
        <v>652</v>
      </c>
    </row>
    <row r="6" spans="1:85" ht="61.9" customHeight="1">
      <c r="A6" s="119"/>
      <c r="B6" s="119"/>
      <c r="C6" s="119"/>
      <c r="D6" s="74" t="s">
        <v>7</v>
      </c>
      <c r="E6" s="74" t="s">
        <v>632</v>
      </c>
      <c r="G6" s="112"/>
      <c r="H6" s="85"/>
      <c r="I6" s="85"/>
      <c r="J6" s="85"/>
      <c r="K6" s="113"/>
      <c r="N6" s="1"/>
      <c r="O6" s="1" t="s">
        <v>109</v>
      </c>
      <c r="P6" s="1"/>
      <c r="Q6" s="1" t="s">
        <v>121</v>
      </c>
      <c r="R6" s="1" t="s">
        <v>127</v>
      </c>
      <c r="S6" s="1" t="s">
        <v>135</v>
      </c>
      <c r="T6" s="1" t="s">
        <v>127</v>
      </c>
      <c r="U6" s="1" t="s">
        <v>147</v>
      </c>
      <c r="V6" s="1" t="s">
        <v>154</v>
      </c>
      <c r="W6" s="1"/>
      <c r="X6" s="1"/>
      <c r="Y6" s="1"/>
      <c r="Z6" s="1"/>
      <c r="AA6" s="1"/>
      <c r="AB6" s="1"/>
      <c r="AC6" s="1"/>
      <c r="AD6" s="1"/>
      <c r="AE6" s="1"/>
      <c r="AF6" s="1"/>
      <c r="AG6" s="1" t="s">
        <v>204</v>
      </c>
      <c r="AH6" s="1"/>
      <c r="AI6" s="1"/>
      <c r="AJ6" s="1" t="s">
        <v>387</v>
      </c>
      <c r="AK6" s="1" t="s">
        <v>396</v>
      </c>
      <c r="AL6" s="1" t="s">
        <v>402</v>
      </c>
      <c r="AM6" s="1"/>
      <c r="AN6" s="1" t="s">
        <v>414</v>
      </c>
      <c r="AO6" s="1" t="s">
        <v>422</v>
      </c>
      <c r="AP6" s="1"/>
      <c r="AQ6" s="1" t="s">
        <v>433</v>
      </c>
      <c r="AR6" s="1"/>
      <c r="AS6" s="1" t="s">
        <v>219</v>
      </c>
      <c r="AT6" s="1"/>
      <c r="AU6" s="1"/>
      <c r="AV6" s="1" t="s">
        <v>234</v>
      </c>
      <c r="AW6" s="1"/>
      <c r="AX6" s="1"/>
      <c r="AY6" s="1" t="s">
        <v>250</v>
      </c>
      <c r="AZ6" s="1" t="s">
        <v>256</v>
      </c>
      <c r="BA6" s="1" t="s">
        <v>266</v>
      </c>
      <c r="BB6" s="1" t="s">
        <v>272</v>
      </c>
      <c r="BC6" s="1"/>
      <c r="BD6" s="1"/>
      <c r="BE6" s="1"/>
      <c r="BF6" s="1" t="s">
        <v>291</v>
      </c>
      <c r="BG6" s="1" t="s">
        <v>306</v>
      </c>
      <c r="BH6" s="1"/>
      <c r="BI6" s="1" t="s">
        <v>320</v>
      </c>
      <c r="BJ6" s="1" t="s">
        <v>327</v>
      </c>
      <c r="BK6" s="1" t="s">
        <v>333</v>
      </c>
      <c r="BL6" s="1" t="s">
        <v>337</v>
      </c>
      <c r="BM6" s="1" t="s">
        <v>343</v>
      </c>
      <c r="BN6" s="1"/>
      <c r="BO6" s="1"/>
      <c r="BP6" s="1"/>
      <c r="BQ6" s="1"/>
      <c r="BR6" s="1" t="s">
        <v>366</v>
      </c>
      <c r="BS6" s="1" t="s">
        <v>372</v>
      </c>
      <c r="BT6" s="1" t="s">
        <v>380</v>
      </c>
      <c r="BU6" t="s">
        <v>624</v>
      </c>
      <c r="BW6" s="70" t="s">
        <v>647</v>
      </c>
      <c r="BX6" s="73" t="s">
        <v>653</v>
      </c>
      <c r="BZ6" s="6" t="str">
        <f t="shared" si="0"/>
        <v>L01</v>
      </c>
      <c r="CA6" s="4" t="s">
        <v>654</v>
      </c>
      <c r="CB6" s="57" t="s">
        <v>454</v>
      </c>
      <c r="CC6" s="57" t="s">
        <v>655</v>
      </c>
      <c r="CD6" s="57" t="s">
        <v>101</v>
      </c>
      <c r="CF6" s="3" t="str">
        <f t="shared" si="1"/>
        <v>L05</v>
      </c>
      <c r="CG6" s="57" t="s">
        <v>656</v>
      </c>
    </row>
    <row r="7" spans="1:85" ht="61.9" customHeight="1" thickBot="1">
      <c r="G7" s="112"/>
      <c r="H7" s="85"/>
      <c r="I7" s="85"/>
      <c r="J7" s="85"/>
      <c r="K7" s="113"/>
      <c r="N7" s="1"/>
      <c r="O7" s="1"/>
      <c r="P7" s="1"/>
      <c r="Q7" s="1"/>
      <c r="R7" s="1" t="s">
        <v>128</v>
      </c>
      <c r="S7" s="1"/>
      <c r="T7" s="1" t="s">
        <v>128</v>
      </c>
      <c r="U7" s="1" t="s">
        <v>148</v>
      </c>
      <c r="V7" s="1" t="s">
        <v>155</v>
      </c>
      <c r="W7" s="1"/>
      <c r="X7" s="1"/>
      <c r="Y7" s="1"/>
      <c r="Z7" s="1"/>
      <c r="AA7" s="1"/>
      <c r="AB7" s="1"/>
      <c r="AC7" s="1"/>
      <c r="AD7" s="1"/>
      <c r="AE7" s="1"/>
      <c r="AF7" s="1"/>
      <c r="AG7" s="1"/>
      <c r="AH7" s="1"/>
      <c r="AI7" s="1"/>
      <c r="AJ7" s="1" t="s">
        <v>388</v>
      </c>
      <c r="AK7" s="1"/>
      <c r="AL7" s="1" t="s">
        <v>403</v>
      </c>
      <c r="AM7" s="1"/>
      <c r="AN7" s="1" t="s">
        <v>415</v>
      </c>
      <c r="AO7" s="1"/>
      <c r="AP7" s="1"/>
      <c r="AQ7" s="1" t="s">
        <v>434</v>
      </c>
      <c r="AR7" s="1"/>
      <c r="AS7" s="1"/>
      <c r="AT7" s="1"/>
      <c r="AU7" s="1"/>
      <c r="AV7" s="1" t="s">
        <v>235</v>
      </c>
      <c r="AW7" s="1"/>
      <c r="AX7" s="1"/>
      <c r="AY7" s="1"/>
      <c r="AZ7" s="1" t="s">
        <v>257</v>
      </c>
      <c r="BA7" s="1"/>
      <c r="BB7" s="1" t="s">
        <v>273</v>
      </c>
      <c r="BC7" s="1"/>
      <c r="BD7" s="1"/>
      <c r="BE7" s="1"/>
      <c r="BF7" s="1" t="s">
        <v>292</v>
      </c>
      <c r="BG7" s="1" t="s">
        <v>307</v>
      </c>
      <c r="BH7" s="1"/>
      <c r="BI7" s="1" t="s">
        <v>321</v>
      </c>
      <c r="BJ7" s="1"/>
      <c r="BK7" s="1"/>
      <c r="BL7" s="1"/>
      <c r="BM7" s="1"/>
      <c r="BN7" s="1"/>
      <c r="BO7" s="1"/>
      <c r="BP7" s="1"/>
      <c r="BQ7" s="1"/>
      <c r="BR7" s="1"/>
      <c r="BS7" s="1" t="s">
        <v>373</v>
      </c>
      <c r="BT7" s="1" t="s">
        <v>381</v>
      </c>
      <c r="BU7" t="s">
        <v>624</v>
      </c>
      <c r="BW7" s="70" t="s">
        <v>647</v>
      </c>
      <c r="BX7" s="73" t="s">
        <v>657</v>
      </c>
      <c r="BZ7" s="6" t="str">
        <f t="shared" si="0"/>
        <v>L02</v>
      </c>
      <c r="CA7" s="4" t="s">
        <v>658</v>
      </c>
      <c r="CB7" s="57" t="s">
        <v>456</v>
      </c>
      <c r="CC7" s="57" t="s">
        <v>659</v>
      </c>
      <c r="CD7" s="57" t="s">
        <v>105</v>
      </c>
      <c r="CF7" s="3" t="str">
        <f t="shared" si="1"/>
        <v>L06</v>
      </c>
      <c r="CG7" s="57" t="s">
        <v>660</v>
      </c>
    </row>
    <row r="8" spans="1:85" ht="61.9" customHeight="1">
      <c r="A8" s="145" t="s">
        <v>661</v>
      </c>
      <c r="B8" s="146"/>
      <c r="C8" s="146"/>
      <c r="D8" s="146"/>
      <c r="E8" s="147"/>
      <c r="G8" s="112"/>
      <c r="H8" s="85"/>
      <c r="I8" s="85"/>
      <c r="J8" s="85"/>
      <c r="K8" s="113"/>
      <c r="N8" s="1"/>
      <c r="O8" s="1"/>
      <c r="P8" s="1"/>
      <c r="Q8" s="1"/>
      <c r="R8" s="1" t="s">
        <v>129</v>
      </c>
      <c r="S8" s="1"/>
      <c r="T8" s="1" t="s">
        <v>141</v>
      </c>
      <c r="U8" s="1"/>
      <c r="V8" s="1" t="s">
        <v>156</v>
      </c>
      <c r="W8" s="1"/>
      <c r="X8" s="1"/>
      <c r="Y8" s="1"/>
      <c r="Z8" s="1"/>
      <c r="AA8" s="1"/>
      <c r="AB8" s="1"/>
      <c r="AC8" s="1"/>
      <c r="AD8" s="1"/>
      <c r="AE8" s="1"/>
      <c r="AF8" s="1"/>
      <c r="AG8" s="1"/>
      <c r="AH8" s="1"/>
      <c r="AI8" s="1"/>
      <c r="AJ8" s="1" t="s">
        <v>389</v>
      </c>
      <c r="AK8" s="1"/>
      <c r="AL8" s="1"/>
      <c r="AM8" s="1"/>
      <c r="AN8" s="1" t="s">
        <v>416</v>
      </c>
      <c r="AO8" s="1"/>
      <c r="AP8" s="1"/>
      <c r="AQ8" s="1"/>
      <c r="AR8" s="1"/>
      <c r="AS8" s="1"/>
      <c r="AT8" s="1"/>
      <c r="AU8" s="1"/>
      <c r="AV8" s="1"/>
      <c r="AW8" s="1"/>
      <c r="AX8" s="1"/>
      <c r="AY8" s="1"/>
      <c r="AZ8" s="1" t="s">
        <v>258</v>
      </c>
      <c r="BA8" s="1"/>
      <c r="BB8" s="1"/>
      <c r="BC8" s="1"/>
      <c r="BD8" s="1"/>
      <c r="BE8" s="1"/>
      <c r="BF8" s="1" t="s">
        <v>293</v>
      </c>
      <c r="BG8" s="1" t="s">
        <v>308</v>
      </c>
      <c r="BH8" s="1"/>
      <c r="BI8" s="1"/>
      <c r="BJ8" s="1"/>
      <c r="BK8" s="1"/>
      <c r="BL8" s="1"/>
      <c r="BM8" s="1"/>
      <c r="BN8" s="1"/>
      <c r="BO8" s="1"/>
      <c r="BP8" s="1"/>
      <c r="BQ8" s="1"/>
      <c r="BR8" s="1"/>
      <c r="BS8" s="1" t="s">
        <v>374</v>
      </c>
      <c r="BT8" s="1"/>
      <c r="BU8" t="s">
        <v>624</v>
      </c>
      <c r="BW8" s="70" t="s">
        <v>647</v>
      </c>
      <c r="BX8" s="73" t="s">
        <v>662</v>
      </c>
      <c r="BZ8" s="6" t="str">
        <f t="shared" si="0"/>
        <v>L02</v>
      </c>
      <c r="CA8" s="4" t="s">
        <v>663</v>
      </c>
      <c r="CB8" s="57" t="s">
        <v>457</v>
      </c>
      <c r="CC8" s="57" t="s">
        <v>664</v>
      </c>
      <c r="CD8" s="57" t="s">
        <v>107</v>
      </c>
      <c r="CF8" s="3" t="str">
        <f t="shared" si="1"/>
        <v>L07</v>
      </c>
      <c r="CG8" s="57" t="s">
        <v>665</v>
      </c>
    </row>
    <row r="9" spans="1:85" ht="43.9" thickBot="1">
      <c r="A9" s="148"/>
      <c r="B9" s="149"/>
      <c r="C9" s="149"/>
      <c r="D9" s="149"/>
      <c r="E9" s="150"/>
      <c r="G9" s="112"/>
      <c r="H9" s="85"/>
      <c r="I9" s="85"/>
      <c r="J9" s="85"/>
      <c r="K9" s="113"/>
      <c r="N9" s="1"/>
      <c r="O9" s="1"/>
      <c r="P9" s="1"/>
      <c r="Q9" s="1"/>
      <c r="R9" s="1"/>
      <c r="S9" s="1"/>
      <c r="T9" s="1"/>
      <c r="U9" s="1"/>
      <c r="V9" s="1" t="s">
        <v>157</v>
      </c>
      <c r="W9" s="1"/>
      <c r="X9" s="1"/>
      <c r="Y9" s="1"/>
      <c r="Z9" s="1"/>
      <c r="AA9" s="1"/>
      <c r="AB9" s="1"/>
      <c r="AC9" s="1"/>
      <c r="AD9" s="1"/>
      <c r="AE9" s="1"/>
      <c r="AF9" s="1"/>
      <c r="AG9" s="1"/>
      <c r="AH9" s="1"/>
      <c r="AI9" s="1"/>
      <c r="AJ9" s="1" t="s">
        <v>390</v>
      </c>
      <c r="AK9" s="1"/>
      <c r="AL9" s="1"/>
      <c r="AM9" s="1"/>
      <c r="AN9" s="1"/>
      <c r="AO9" s="1"/>
      <c r="AP9" s="1"/>
      <c r="AQ9" s="1"/>
      <c r="AR9" s="1"/>
      <c r="AS9" s="1"/>
      <c r="AT9" s="1"/>
      <c r="AU9" s="1"/>
      <c r="AV9" s="1"/>
      <c r="AW9" s="1"/>
      <c r="AX9" s="1"/>
      <c r="AY9" s="1"/>
      <c r="AZ9" s="1" t="s">
        <v>259</v>
      </c>
      <c r="BA9" s="1"/>
      <c r="BB9" s="1"/>
      <c r="BC9" s="1"/>
      <c r="BD9" s="1"/>
      <c r="BE9" s="1"/>
      <c r="BF9" s="1" t="s">
        <v>294</v>
      </c>
      <c r="BG9" s="1" t="s">
        <v>309</v>
      </c>
      <c r="BH9" s="1"/>
      <c r="BI9" s="1"/>
      <c r="BJ9" s="1"/>
      <c r="BK9" s="1"/>
      <c r="BL9" s="1"/>
      <c r="BM9" s="1"/>
      <c r="BN9" s="1"/>
      <c r="BO9" s="1"/>
      <c r="BP9" s="1"/>
      <c r="BQ9" s="1"/>
      <c r="BR9" s="1"/>
      <c r="BS9" s="1"/>
      <c r="BT9" s="1"/>
      <c r="BU9" t="s">
        <v>624</v>
      </c>
      <c r="BW9" s="70" t="s">
        <v>647</v>
      </c>
      <c r="BX9" s="73" t="s">
        <v>666</v>
      </c>
      <c r="BZ9" s="6" t="str">
        <f t="shared" si="0"/>
        <v>L02</v>
      </c>
      <c r="CA9" s="4" t="s">
        <v>667</v>
      </c>
      <c r="CB9" s="57" t="s">
        <v>458</v>
      </c>
      <c r="CC9" s="57" t="s">
        <v>668</v>
      </c>
      <c r="CD9" s="57" t="s">
        <v>108</v>
      </c>
      <c r="CF9" s="3" t="str">
        <f t="shared" si="1"/>
        <v>L08</v>
      </c>
      <c r="CG9" s="57" t="s">
        <v>669</v>
      </c>
    </row>
    <row r="10" spans="1:85" ht="57.6">
      <c r="G10" s="112"/>
      <c r="H10" s="85"/>
      <c r="I10" s="85"/>
      <c r="J10" s="85"/>
      <c r="K10" s="113"/>
      <c r="N10" s="1"/>
      <c r="O10" s="1"/>
      <c r="P10" s="1"/>
      <c r="Q10" s="1"/>
      <c r="R10" s="1"/>
      <c r="S10" s="1"/>
      <c r="T10" s="1"/>
      <c r="U10" s="1"/>
      <c r="V10" s="1" t="s">
        <v>158</v>
      </c>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t="s">
        <v>260</v>
      </c>
      <c r="BA10" s="1"/>
      <c r="BB10" s="1"/>
      <c r="BC10" s="1"/>
      <c r="BD10" s="1"/>
      <c r="BE10" s="1"/>
      <c r="BF10" s="1" t="s">
        <v>295</v>
      </c>
      <c r="BG10" s="1" t="s">
        <v>310</v>
      </c>
      <c r="BH10" s="1"/>
      <c r="BI10" s="1"/>
      <c r="BJ10" s="1"/>
      <c r="BK10" s="1"/>
      <c r="BL10" s="1"/>
      <c r="BM10" s="1"/>
      <c r="BN10" s="1"/>
      <c r="BO10" s="1"/>
      <c r="BP10" s="1"/>
      <c r="BQ10" s="1"/>
      <c r="BR10" s="1"/>
      <c r="BS10" s="1"/>
      <c r="BT10" s="1"/>
      <c r="BU10" t="s">
        <v>624</v>
      </c>
      <c r="BW10" s="69" t="s">
        <v>670</v>
      </c>
      <c r="BX10" s="72" t="s">
        <v>671</v>
      </c>
      <c r="BZ10" s="6" t="str">
        <f t="shared" si="0"/>
        <v>L02</v>
      </c>
      <c r="CA10" s="4" t="s">
        <v>672</v>
      </c>
      <c r="CB10" s="57" t="s">
        <v>673</v>
      </c>
      <c r="CC10" s="57" t="s">
        <v>674</v>
      </c>
      <c r="CD10" s="57" t="s">
        <v>109</v>
      </c>
      <c r="CF10" s="3" t="str">
        <f t="shared" si="1"/>
        <v>L09</v>
      </c>
      <c r="CG10" s="57" t="s">
        <v>675</v>
      </c>
    </row>
    <row r="11" spans="1:85" ht="57.6">
      <c r="G11" s="112"/>
      <c r="H11" s="85"/>
      <c r="I11" s="85"/>
      <c r="J11" s="85"/>
      <c r="K11" s="113"/>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t="s">
        <v>296</v>
      </c>
      <c r="BG11" s="1"/>
      <c r="BH11" s="1"/>
      <c r="BI11" s="1"/>
      <c r="BJ11" s="1"/>
      <c r="BK11" s="1"/>
      <c r="BL11" s="1"/>
      <c r="BM11" s="1"/>
      <c r="BN11" s="1"/>
      <c r="BO11" s="1"/>
      <c r="BP11" s="1"/>
      <c r="BQ11" s="1"/>
      <c r="BR11" s="1"/>
      <c r="BS11" s="1"/>
      <c r="BT11" s="1"/>
      <c r="BU11" t="s">
        <v>624</v>
      </c>
      <c r="BW11" s="69" t="s">
        <v>670</v>
      </c>
      <c r="BX11" s="72" t="s">
        <v>676</v>
      </c>
      <c r="BZ11" s="6" t="str">
        <f t="shared" si="0"/>
        <v>L02</v>
      </c>
      <c r="CA11" s="4" t="s">
        <v>677</v>
      </c>
      <c r="CB11" s="57" t="s">
        <v>460</v>
      </c>
      <c r="CC11" s="57" t="s">
        <v>678</v>
      </c>
      <c r="CD11" s="57" t="s">
        <v>106</v>
      </c>
      <c r="CF11" s="3" t="str">
        <f t="shared" si="1"/>
        <v>L10</v>
      </c>
      <c r="CG11" s="57" t="s">
        <v>679</v>
      </c>
    </row>
    <row r="12" spans="1:85" ht="86.45">
      <c r="G12" s="112"/>
      <c r="H12" s="85"/>
      <c r="I12" s="85"/>
      <c r="J12" s="85"/>
      <c r="K12" s="113"/>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t="s">
        <v>297</v>
      </c>
      <c r="BG12" s="1"/>
      <c r="BH12" s="1"/>
      <c r="BI12" s="1"/>
      <c r="BJ12" s="1"/>
      <c r="BK12" s="1"/>
      <c r="BL12" s="1"/>
      <c r="BM12" s="1"/>
      <c r="BN12" s="1"/>
      <c r="BO12" s="1"/>
      <c r="BP12" s="1"/>
      <c r="BQ12" s="1"/>
      <c r="BR12" s="1"/>
      <c r="BS12" s="1"/>
      <c r="BT12" s="1"/>
      <c r="BU12" t="s">
        <v>624</v>
      </c>
      <c r="BW12" s="69" t="s">
        <v>670</v>
      </c>
      <c r="BX12" s="72" t="s">
        <v>680</v>
      </c>
      <c r="BZ12" s="6" t="str">
        <f t="shared" si="0"/>
        <v>L03</v>
      </c>
      <c r="CA12" s="4" t="s">
        <v>681</v>
      </c>
      <c r="CB12" s="57" t="s">
        <v>606</v>
      </c>
      <c r="CC12" s="57" t="s">
        <v>682</v>
      </c>
      <c r="CD12" s="57" t="s">
        <v>112</v>
      </c>
      <c r="CF12" s="3" t="str">
        <f t="shared" si="1"/>
        <v>L11</v>
      </c>
      <c r="CG12" s="57" t="s">
        <v>683</v>
      </c>
    </row>
    <row r="13" spans="1:85" ht="86.45">
      <c r="G13" s="112"/>
      <c r="H13" s="85"/>
      <c r="I13" s="85"/>
      <c r="J13" s="85"/>
      <c r="K13" s="113"/>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t="s">
        <v>298</v>
      </c>
      <c r="BG13" s="1"/>
      <c r="BH13" s="1"/>
      <c r="BI13" s="1"/>
      <c r="BJ13" s="1"/>
      <c r="BK13" s="1"/>
      <c r="BL13" s="1"/>
      <c r="BM13" s="1"/>
      <c r="BN13" s="1"/>
      <c r="BO13" s="1"/>
      <c r="BP13" s="1"/>
      <c r="BQ13" s="1"/>
      <c r="BR13" s="1"/>
      <c r="BS13" s="1"/>
      <c r="BT13" s="1"/>
      <c r="BU13" t="s">
        <v>624</v>
      </c>
      <c r="BW13" s="69" t="s">
        <v>670</v>
      </c>
      <c r="BX13" s="72" t="s">
        <v>684</v>
      </c>
      <c r="BZ13" s="6" t="str">
        <f t="shared" si="0"/>
        <v>L03</v>
      </c>
      <c r="CA13" s="4" t="s">
        <v>685</v>
      </c>
      <c r="CB13" s="57" t="s">
        <v>686</v>
      </c>
      <c r="CC13" s="57" t="s">
        <v>687</v>
      </c>
      <c r="CD13" s="57" t="s">
        <v>112</v>
      </c>
      <c r="CF13" s="3" t="str">
        <f t="shared" si="1"/>
        <v>L12</v>
      </c>
      <c r="CG13" s="57" t="s">
        <v>688</v>
      </c>
    </row>
    <row r="14" spans="1:85" ht="57.6">
      <c r="G14" s="112"/>
      <c r="H14" s="85"/>
      <c r="I14" s="85"/>
      <c r="J14" s="85"/>
      <c r="K14" s="113"/>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t="s">
        <v>299</v>
      </c>
      <c r="BG14" s="1"/>
      <c r="BH14" s="1"/>
      <c r="BI14" s="1"/>
      <c r="BJ14" s="1"/>
      <c r="BK14" s="1"/>
      <c r="BL14" s="1"/>
      <c r="BM14" s="1"/>
      <c r="BN14" s="1"/>
      <c r="BO14" s="1"/>
      <c r="BP14" s="1"/>
      <c r="BQ14" s="1"/>
      <c r="BR14" s="1"/>
      <c r="BS14" s="1"/>
      <c r="BT14" s="1"/>
      <c r="BU14" t="s">
        <v>624</v>
      </c>
      <c r="BW14" s="70" t="s">
        <v>689</v>
      </c>
      <c r="BX14" s="73" t="s">
        <v>690</v>
      </c>
      <c r="BZ14" s="6" t="str">
        <f t="shared" si="0"/>
        <v>L03</v>
      </c>
      <c r="CA14" s="4" t="s">
        <v>691</v>
      </c>
      <c r="CB14" s="57" t="s">
        <v>607</v>
      </c>
      <c r="CC14" s="57" t="s">
        <v>692</v>
      </c>
      <c r="CD14" s="57" t="s">
        <v>113</v>
      </c>
      <c r="CF14" s="3" t="str">
        <f t="shared" si="1"/>
        <v>L13</v>
      </c>
      <c r="CG14" s="57" t="s">
        <v>693</v>
      </c>
    </row>
    <row r="15" spans="1:85" ht="57.6">
      <c r="G15" s="112"/>
      <c r="H15" s="85"/>
      <c r="I15" s="85"/>
      <c r="J15" s="85"/>
      <c r="K15" s="113"/>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t="s">
        <v>300</v>
      </c>
      <c r="BG15" s="1"/>
      <c r="BH15" s="1"/>
      <c r="BI15" s="1"/>
      <c r="BJ15" s="1"/>
      <c r="BK15" s="1"/>
      <c r="BL15" s="1"/>
      <c r="BM15" s="1"/>
      <c r="BN15" s="1"/>
      <c r="BO15" s="1"/>
      <c r="BP15" s="1"/>
      <c r="BQ15" s="1"/>
      <c r="BR15" s="1"/>
      <c r="BS15" s="1"/>
      <c r="BT15" s="1"/>
      <c r="BU15" t="s">
        <v>624</v>
      </c>
      <c r="BW15" s="70" t="s">
        <v>689</v>
      </c>
      <c r="BX15" s="73" t="s">
        <v>694</v>
      </c>
      <c r="BZ15" s="6" t="str">
        <f t="shared" si="0"/>
        <v>L04</v>
      </c>
      <c r="CA15" s="4" t="s">
        <v>695</v>
      </c>
      <c r="CB15" s="57" t="s">
        <v>464</v>
      </c>
      <c r="CC15" s="57" t="s">
        <v>696</v>
      </c>
      <c r="CD15" s="57" t="s">
        <v>118</v>
      </c>
      <c r="CF15" s="3" t="str">
        <f t="shared" si="1"/>
        <v>L14</v>
      </c>
      <c r="CG15" s="57" t="s">
        <v>697</v>
      </c>
    </row>
    <row r="16" spans="1:85" ht="86.45">
      <c r="G16" s="112"/>
      <c r="H16" s="85"/>
      <c r="I16" s="85"/>
      <c r="J16" s="85"/>
      <c r="K16" s="113"/>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t="s">
        <v>624</v>
      </c>
      <c r="BW16" s="70" t="s">
        <v>689</v>
      </c>
      <c r="BX16" s="73" t="s">
        <v>698</v>
      </c>
      <c r="BZ16" s="6" t="str">
        <f t="shared" si="0"/>
        <v>L04</v>
      </c>
      <c r="CA16" s="4" t="s">
        <v>699</v>
      </c>
      <c r="CB16" s="57" t="s">
        <v>465</v>
      </c>
      <c r="CC16" s="57" t="s">
        <v>700</v>
      </c>
      <c r="CD16" s="57" t="s">
        <v>117</v>
      </c>
      <c r="CF16" s="3" t="str">
        <f t="shared" si="1"/>
        <v>L15</v>
      </c>
      <c r="CG16" s="57" t="s">
        <v>701</v>
      </c>
    </row>
    <row r="17" spans="7:85" ht="72">
      <c r="G17" s="112"/>
      <c r="H17" s="85"/>
      <c r="I17" s="85"/>
      <c r="J17" s="85"/>
      <c r="K17" s="113"/>
      <c r="BW17" s="70" t="s">
        <v>689</v>
      </c>
      <c r="BX17" s="73" t="s">
        <v>702</v>
      </c>
      <c r="BZ17" s="6" t="str">
        <f t="shared" si="0"/>
        <v>L04</v>
      </c>
      <c r="CA17" s="4" t="s">
        <v>703</v>
      </c>
      <c r="CB17" s="57" t="s">
        <v>466</v>
      </c>
      <c r="CC17" s="57" t="s">
        <v>704</v>
      </c>
      <c r="CD17" s="57" t="s">
        <v>121</v>
      </c>
      <c r="CF17" s="3" t="str">
        <f t="shared" si="1"/>
        <v>L16</v>
      </c>
      <c r="CG17" s="57" t="s">
        <v>705</v>
      </c>
    </row>
    <row r="18" spans="7:85" ht="57.6">
      <c r="G18" s="112"/>
      <c r="H18" s="85"/>
      <c r="I18" s="85"/>
      <c r="J18" s="85"/>
      <c r="K18" s="113"/>
      <c r="BW18" s="70" t="s">
        <v>689</v>
      </c>
      <c r="BX18" s="73" t="s">
        <v>706</v>
      </c>
      <c r="BZ18" s="6" t="str">
        <f t="shared" si="0"/>
        <v>L05</v>
      </c>
      <c r="CA18" s="4" t="s">
        <v>707</v>
      </c>
      <c r="CB18" s="57" t="s">
        <v>470</v>
      </c>
      <c r="CC18" s="57" t="s">
        <v>708</v>
      </c>
      <c r="CD18" s="57"/>
      <c r="CF18" s="3" t="str">
        <f t="shared" si="1"/>
        <v>L17</v>
      </c>
      <c r="CG18" s="57" t="s">
        <v>709</v>
      </c>
    </row>
    <row r="19" spans="7:85" ht="28.9">
      <c r="G19" s="112"/>
      <c r="H19" s="85"/>
      <c r="I19" s="85"/>
      <c r="J19" s="85"/>
      <c r="K19" s="113"/>
      <c r="BW19" s="69" t="s">
        <v>710</v>
      </c>
      <c r="BX19" s="72" t="s">
        <v>711</v>
      </c>
      <c r="BZ19" s="6" t="str">
        <f t="shared" si="0"/>
        <v>L06</v>
      </c>
      <c r="CA19" s="4" t="s">
        <v>712</v>
      </c>
      <c r="CB19" s="57" t="s">
        <v>474</v>
      </c>
      <c r="CC19" s="57" t="s">
        <v>713</v>
      </c>
      <c r="CD19" s="57"/>
      <c r="CF19" s="3" t="str">
        <f t="shared" si="1"/>
        <v>L18</v>
      </c>
      <c r="CG19" s="57" t="s">
        <v>714</v>
      </c>
    </row>
    <row r="20" spans="7:85" ht="43.15">
      <c r="G20" s="112"/>
      <c r="H20" s="85"/>
      <c r="I20" s="85"/>
      <c r="J20" s="85"/>
      <c r="K20" s="113"/>
      <c r="BW20" s="69" t="s">
        <v>710</v>
      </c>
      <c r="BX20" s="72" t="s">
        <v>715</v>
      </c>
      <c r="BZ20" s="6" t="str">
        <f t="shared" si="0"/>
        <v>L07</v>
      </c>
      <c r="CA20" s="4" t="s">
        <v>716</v>
      </c>
      <c r="CB20" s="57" t="s">
        <v>476</v>
      </c>
      <c r="CC20" s="57" t="s">
        <v>708</v>
      </c>
      <c r="CD20" s="57"/>
      <c r="CF20" s="3" t="str">
        <f t="shared" si="1"/>
        <v>L19</v>
      </c>
      <c r="CG20" s="57" t="s">
        <v>717</v>
      </c>
    </row>
    <row r="21" spans="7:85" ht="28.9">
      <c r="G21" s="112"/>
      <c r="H21" s="85"/>
      <c r="I21" s="85"/>
      <c r="J21" s="85"/>
      <c r="K21" s="113"/>
      <c r="BW21" s="69" t="s">
        <v>710</v>
      </c>
      <c r="BX21" s="72" t="s">
        <v>718</v>
      </c>
      <c r="BZ21" s="6" t="str">
        <f t="shared" si="0"/>
        <v>L08</v>
      </c>
      <c r="CA21" s="4" t="s">
        <v>719</v>
      </c>
      <c r="CB21" s="57" t="s">
        <v>720</v>
      </c>
      <c r="CC21" s="57" t="s">
        <v>721</v>
      </c>
      <c r="CD21" s="57"/>
      <c r="CF21" s="3" t="str">
        <f t="shared" si="1"/>
        <v>L20</v>
      </c>
      <c r="CG21" s="57" t="s">
        <v>722</v>
      </c>
    </row>
    <row r="22" spans="7:85" ht="28.9">
      <c r="G22" s="112"/>
      <c r="H22" s="85"/>
      <c r="I22" s="85"/>
      <c r="J22" s="85"/>
      <c r="K22" s="113"/>
      <c r="BW22" s="69" t="s">
        <v>710</v>
      </c>
      <c r="BX22" s="72" t="s">
        <v>723</v>
      </c>
      <c r="BZ22" s="6" t="str">
        <f t="shared" si="0"/>
        <v>L08</v>
      </c>
      <c r="CA22" s="4" t="s">
        <v>724</v>
      </c>
      <c r="CB22" s="57" t="s">
        <v>608</v>
      </c>
      <c r="CC22" s="57" t="s">
        <v>725</v>
      </c>
      <c r="CD22" s="57"/>
      <c r="CF22" s="3" t="str">
        <f t="shared" si="1"/>
        <v>L21</v>
      </c>
      <c r="CG22" s="57" t="s">
        <v>726</v>
      </c>
    </row>
    <row r="23" spans="7:85" ht="28.9">
      <c r="G23" s="112"/>
      <c r="H23" s="85"/>
      <c r="I23" s="85"/>
      <c r="J23" s="85"/>
      <c r="K23" s="113"/>
      <c r="BW23" s="69" t="s">
        <v>710</v>
      </c>
      <c r="BX23" s="72" t="s">
        <v>727</v>
      </c>
      <c r="BZ23" s="6" t="str">
        <f t="shared" si="0"/>
        <v>L08</v>
      </c>
      <c r="CA23" s="4" t="s">
        <v>728</v>
      </c>
      <c r="CB23" s="57" t="s">
        <v>729</v>
      </c>
      <c r="CC23" s="57" t="s">
        <v>730</v>
      </c>
      <c r="CD23" s="57"/>
      <c r="CF23" s="3" t="str">
        <f t="shared" si="1"/>
        <v>L22</v>
      </c>
      <c r="CG23" s="57" t="s">
        <v>731</v>
      </c>
    </row>
    <row r="24" spans="7:85" ht="28.9">
      <c r="G24" s="112"/>
      <c r="H24" s="85"/>
      <c r="I24" s="85"/>
      <c r="J24" s="85"/>
      <c r="K24" s="113"/>
      <c r="BW24" s="69" t="s">
        <v>710</v>
      </c>
      <c r="BX24" s="72" t="s">
        <v>732</v>
      </c>
      <c r="BZ24" s="6" t="str">
        <f t="shared" si="0"/>
        <v>L09</v>
      </c>
      <c r="CA24" s="4" t="s">
        <v>733</v>
      </c>
      <c r="CB24" s="57" t="s">
        <v>480</v>
      </c>
      <c r="CC24" s="57" t="s">
        <v>734</v>
      </c>
      <c r="CD24" s="57"/>
      <c r="CF24" s="3" t="str">
        <f t="shared" si="1"/>
        <v>M01</v>
      </c>
      <c r="CG24" s="57" t="s">
        <v>735</v>
      </c>
    </row>
    <row r="25" spans="7:85" ht="28.9">
      <c r="G25" s="112"/>
      <c r="H25" s="85"/>
      <c r="I25" s="85"/>
      <c r="J25" s="85"/>
      <c r="K25" s="113"/>
      <c r="BW25" s="69" t="s">
        <v>710</v>
      </c>
      <c r="BX25" s="72" t="s">
        <v>736</v>
      </c>
      <c r="BZ25" s="6" t="str">
        <f t="shared" si="0"/>
        <v>L09</v>
      </c>
      <c r="CA25" s="4" t="s">
        <v>737</v>
      </c>
      <c r="CB25" s="57" t="s">
        <v>738</v>
      </c>
      <c r="CC25" s="57" t="s">
        <v>739</v>
      </c>
      <c r="CD25" s="57"/>
      <c r="CF25" s="3" t="str">
        <f t="shared" si="1"/>
        <v>M02</v>
      </c>
      <c r="CG25" s="57" t="s">
        <v>740</v>
      </c>
    </row>
    <row r="26" spans="7:85" ht="57.6">
      <c r="G26" s="112"/>
      <c r="H26" s="85"/>
      <c r="I26" s="85"/>
      <c r="J26" s="85"/>
      <c r="K26" s="113"/>
      <c r="BW26" s="70" t="s">
        <v>741</v>
      </c>
      <c r="BX26" s="73" t="s">
        <v>742</v>
      </c>
      <c r="BZ26" s="6" t="str">
        <f t="shared" si="0"/>
        <v>L10</v>
      </c>
      <c r="CA26" s="4" t="s">
        <v>743</v>
      </c>
      <c r="CB26" s="57" t="s">
        <v>744</v>
      </c>
      <c r="CC26" s="57" t="s">
        <v>745</v>
      </c>
      <c r="CD26" s="57"/>
      <c r="CF26" s="3" t="str">
        <f t="shared" si="1"/>
        <v>M03</v>
      </c>
      <c r="CG26" s="57" t="s">
        <v>746</v>
      </c>
    </row>
    <row r="27" spans="7:85" ht="43.15">
      <c r="G27" s="112"/>
      <c r="H27" s="85"/>
      <c r="I27" s="85"/>
      <c r="J27" s="85"/>
      <c r="K27" s="113"/>
      <c r="BW27" s="70" t="s">
        <v>741</v>
      </c>
      <c r="BX27" s="73" t="s">
        <v>747</v>
      </c>
      <c r="BZ27" s="6" t="str">
        <f t="shared" si="0"/>
        <v>L10</v>
      </c>
      <c r="CA27" s="4" t="s">
        <v>748</v>
      </c>
      <c r="CB27" s="57" t="s">
        <v>749</v>
      </c>
      <c r="CC27" s="57" t="s">
        <v>750</v>
      </c>
      <c r="CD27" s="57"/>
      <c r="CF27" s="3" t="str">
        <f t="shared" si="1"/>
        <v>M04</v>
      </c>
      <c r="CG27" s="57" t="s">
        <v>751</v>
      </c>
    </row>
    <row r="28" spans="7:85" ht="28.9">
      <c r="G28" s="112"/>
      <c r="H28" s="85"/>
      <c r="I28" s="85"/>
      <c r="J28" s="85"/>
      <c r="K28" s="113"/>
      <c r="BW28" s="70" t="s">
        <v>741</v>
      </c>
      <c r="BX28" s="73" t="s">
        <v>752</v>
      </c>
      <c r="BZ28" s="6" t="str">
        <f t="shared" si="0"/>
        <v>L10</v>
      </c>
      <c r="CA28" s="4" t="s">
        <v>753</v>
      </c>
      <c r="CB28" s="57" t="s">
        <v>754</v>
      </c>
      <c r="CC28" s="57" t="s">
        <v>755</v>
      </c>
      <c r="CD28" s="57"/>
      <c r="CF28" s="3" t="str">
        <f t="shared" si="1"/>
        <v>M05</v>
      </c>
      <c r="CG28" s="57" t="s">
        <v>756</v>
      </c>
    </row>
    <row r="29" spans="7:85" ht="43.15">
      <c r="G29" s="112"/>
      <c r="H29" s="85"/>
      <c r="I29" s="85"/>
      <c r="J29" s="85"/>
      <c r="K29" s="113"/>
      <c r="BW29" s="70" t="s">
        <v>741</v>
      </c>
      <c r="BX29" s="73" t="s">
        <v>757</v>
      </c>
      <c r="BZ29" s="6" t="str">
        <f t="shared" si="0"/>
        <v>L11</v>
      </c>
      <c r="CA29" s="4" t="s">
        <v>758</v>
      </c>
      <c r="CB29" s="57" t="s">
        <v>759</v>
      </c>
      <c r="CC29" s="57" t="s">
        <v>760</v>
      </c>
      <c r="CD29" s="57"/>
      <c r="CF29" s="3" t="str">
        <f t="shared" si="1"/>
        <v>M06</v>
      </c>
      <c r="CG29" s="57" t="s">
        <v>761</v>
      </c>
    </row>
    <row r="30" spans="7:85" ht="57.6">
      <c r="G30" s="112"/>
      <c r="H30" s="85"/>
      <c r="I30" s="85"/>
      <c r="J30" s="85"/>
      <c r="K30" s="113"/>
      <c r="BW30" s="70" t="s">
        <v>741</v>
      </c>
      <c r="BX30" s="73" t="s">
        <v>762</v>
      </c>
      <c r="BZ30" s="6" t="str">
        <f t="shared" si="0"/>
        <v>L11</v>
      </c>
      <c r="CA30" s="4" t="s">
        <v>763</v>
      </c>
      <c r="CB30" s="57" t="s">
        <v>487</v>
      </c>
      <c r="CC30" s="57" t="s">
        <v>764</v>
      </c>
      <c r="CD30" s="57"/>
      <c r="CF30" s="3" t="str">
        <f t="shared" si="1"/>
        <v>M07</v>
      </c>
      <c r="CG30" s="57" t="s">
        <v>765</v>
      </c>
    </row>
    <row r="31" spans="7:85" ht="28.9">
      <c r="G31" s="112"/>
      <c r="H31" s="85"/>
      <c r="I31" s="85"/>
      <c r="J31" s="85"/>
      <c r="K31" s="113"/>
      <c r="BW31" s="69" t="s">
        <v>766</v>
      </c>
      <c r="BX31" s="72" t="s">
        <v>767</v>
      </c>
      <c r="BZ31" s="6" t="str">
        <f t="shared" si="0"/>
        <v>L11</v>
      </c>
      <c r="CA31" s="4" t="s">
        <v>768</v>
      </c>
      <c r="CB31" s="57" t="s">
        <v>488</v>
      </c>
      <c r="CC31" s="57" t="s">
        <v>769</v>
      </c>
      <c r="CD31" s="57"/>
      <c r="CF31" s="3" t="str">
        <f t="shared" si="1"/>
        <v>M08</v>
      </c>
      <c r="CG31" s="57" t="s">
        <v>770</v>
      </c>
    </row>
    <row r="32" spans="7:85" ht="43.15">
      <c r="G32" s="112"/>
      <c r="H32" s="85"/>
      <c r="I32" s="85"/>
      <c r="J32" s="85"/>
      <c r="K32" s="113"/>
      <c r="BW32" s="69" t="s">
        <v>766</v>
      </c>
      <c r="BX32" s="72" t="s">
        <v>771</v>
      </c>
      <c r="BZ32" s="6" t="str">
        <f t="shared" si="0"/>
        <v>L12</v>
      </c>
      <c r="CA32" s="4" t="s">
        <v>772</v>
      </c>
      <c r="CB32" s="57" t="s">
        <v>491</v>
      </c>
      <c r="CC32" s="57" t="s">
        <v>773</v>
      </c>
      <c r="CD32" s="57"/>
      <c r="CF32" s="3" t="str">
        <f t="shared" si="1"/>
        <v>M09</v>
      </c>
      <c r="CG32" s="57" t="s">
        <v>774</v>
      </c>
    </row>
    <row r="33" spans="7:85" ht="28.9">
      <c r="G33" s="112"/>
      <c r="H33" s="85"/>
      <c r="I33" s="85"/>
      <c r="J33" s="85"/>
      <c r="K33" s="113"/>
      <c r="BW33" s="69" t="s">
        <v>766</v>
      </c>
      <c r="BX33" s="72" t="s">
        <v>775</v>
      </c>
      <c r="BZ33" s="6" t="str">
        <f t="shared" si="0"/>
        <v>L12</v>
      </c>
      <c r="CA33" s="4" t="s">
        <v>776</v>
      </c>
      <c r="CB33" s="57" t="s">
        <v>602</v>
      </c>
      <c r="CC33" s="57" t="s">
        <v>777</v>
      </c>
      <c r="CD33" s="57"/>
      <c r="CF33" s="3" t="str">
        <f t="shared" si="1"/>
        <v>P01</v>
      </c>
      <c r="CG33" s="57" t="s">
        <v>778</v>
      </c>
    </row>
    <row r="34" spans="7:85" ht="28.9">
      <c r="G34" s="112"/>
      <c r="H34" s="85"/>
      <c r="I34" s="85"/>
      <c r="J34" s="85"/>
      <c r="K34" s="113"/>
      <c r="BW34" s="69" t="s">
        <v>766</v>
      </c>
      <c r="BX34" s="72" t="s">
        <v>779</v>
      </c>
      <c r="BZ34" s="6" t="str">
        <f t="shared" si="0"/>
        <v>L13</v>
      </c>
      <c r="CA34" s="4" t="s">
        <v>780</v>
      </c>
      <c r="CB34" s="57" t="s">
        <v>781</v>
      </c>
      <c r="CC34" s="57" t="s">
        <v>782</v>
      </c>
      <c r="CD34" s="57"/>
      <c r="CF34" s="3" t="str">
        <f t="shared" si="1"/>
        <v>P02</v>
      </c>
      <c r="CG34" s="57" t="s">
        <v>783</v>
      </c>
    </row>
    <row r="35" spans="7:85" ht="28.9">
      <c r="G35" s="112"/>
      <c r="H35" s="85"/>
      <c r="I35" s="85"/>
      <c r="J35" s="85"/>
      <c r="K35" s="113"/>
      <c r="BW35" s="69" t="s">
        <v>766</v>
      </c>
      <c r="BX35" s="72" t="s">
        <v>727</v>
      </c>
      <c r="BZ35" s="6" t="str">
        <f t="shared" si="0"/>
        <v>L13</v>
      </c>
      <c r="CA35" s="4" t="s">
        <v>784</v>
      </c>
      <c r="CB35" s="57" t="s">
        <v>785</v>
      </c>
      <c r="CC35" s="57" t="s">
        <v>786</v>
      </c>
      <c r="CD35" s="57"/>
      <c r="CF35" s="3" t="str">
        <f t="shared" si="1"/>
        <v>P03</v>
      </c>
      <c r="CG35" s="57" t="s">
        <v>787</v>
      </c>
    </row>
    <row r="36" spans="7:85" ht="28.9">
      <c r="G36" s="112"/>
      <c r="H36" s="85"/>
      <c r="I36" s="85"/>
      <c r="J36" s="85"/>
      <c r="K36" s="113"/>
      <c r="BW36" s="69" t="s">
        <v>766</v>
      </c>
      <c r="BX36" s="72" t="s">
        <v>732</v>
      </c>
      <c r="BZ36" s="6" t="str">
        <f t="shared" si="0"/>
        <v>L13</v>
      </c>
      <c r="CA36" s="4" t="s">
        <v>788</v>
      </c>
      <c r="CB36" s="57" t="s">
        <v>789</v>
      </c>
      <c r="CC36" s="57" t="s">
        <v>790</v>
      </c>
      <c r="CD36" s="57"/>
      <c r="CF36" s="3" t="str">
        <f t="shared" si="1"/>
        <v>P04</v>
      </c>
      <c r="CG36" s="57" t="s">
        <v>791</v>
      </c>
    </row>
    <row r="37" spans="7:85" ht="28.9">
      <c r="G37" s="112"/>
      <c r="H37" s="85"/>
      <c r="I37" s="85"/>
      <c r="J37" s="85"/>
      <c r="K37" s="113"/>
      <c r="BW37" s="69" t="s">
        <v>766</v>
      </c>
      <c r="BX37" s="72" t="s">
        <v>792</v>
      </c>
      <c r="BZ37" s="6" t="str">
        <f t="shared" si="0"/>
        <v>L14</v>
      </c>
      <c r="CA37" s="4" t="s">
        <v>793</v>
      </c>
      <c r="CB37" s="57" t="s">
        <v>794</v>
      </c>
      <c r="CC37" s="57" t="s">
        <v>795</v>
      </c>
      <c r="CD37" s="57"/>
      <c r="CF37" s="3" t="str">
        <f t="shared" si="1"/>
        <v>P05</v>
      </c>
      <c r="CG37" s="57" t="s">
        <v>796</v>
      </c>
    </row>
    <row r="38" spans="7:85" ht="43.15">
      <c r="G38" s="112"/>
      <c r="H38" s="85"/>
      <c r="I38" s="85"/>
      <c r="J38" s="85"/>
      <c r="K38" s="113"/>
      <c r="BW38" s="70" t="s">
        <v>797</v>
      </c>
      <c r="BX38" s="73" t="s">
        <v>798</v>
      </c>
      <c r="BZ38" s="6" t="str">
        <f t="shared" si="0"/>
        <v>L15</v>
      </c>
      <c r="CA38" s="4" t="s">
        <v>799</v>
      </c>
      <c r="CB38" s="57" t="s">
        <v>800</v>
      </c>
      <c r="CC38" s="57" t="s">
        <v>801</v>
      </c>
      <c r="CD38" s="57"/>
      <c r="CF38" s="3" t="str">
        <f t="shared" si="1"/>
        <v>P06</v>
      </c>
      <c r="CG38" s="57" t="s">
        <v>802</v>
      </c>
    </row>
    <row r="39" spans="7:85" ht="28.9">
      <c r="G39" s="112"/>
      <c r="H39" s="85"/>
      <c r="I39" s="85"/>
      <c r="J39" s="85"/>
      <c r="K39" s="113"/>
      <c r="BW39" s="70" t="s">
        <v>797</v>
      </c>
      <c r="BX39" s="73" t="s">
        <v>803</v>
      </c>
      <c r="BZ39" s="6" t="str">
        <f t="shared" si="0"/>
        <v>L16</v>
      </c>
      <c r="CA39" s="4" t="s">
        <v>804</v>
      </c>
      <c r="CB39" s="57" t="s">
        <v>805</v>
      </c>
      <c r="CC39" s="57" t="s">
        <v>806</v>
      </c>
      <c r="CD39" s="57"/>
      <c r="CF39" s="3" t="str">
        <f t="shared" si="1"/>
        <v>P07</v>
      </c>
      <c r="CG39" s="57" t="s">
        <v>807</v>
      </c>
    </row>
    <row r="40" spans="7:85" ht="43.15">
      <c r="G40" s="112"/>
      <c r="H40" s="85"/>
      <c r="I40" s="85"/>
      <c r="J40" s="85"/>
      <c r="K40" s="113"/>
      <c r="BW40" s="70" t="s">
        <v>797</v>
      </c>
      <c r="BX40" s="73" t="s">
        <v>808</v>
      </c>
      <c r="BZ40" s="6" t="str">
        <f t="shared" si="0"/>
        <v>L17</v>
      </c>
      <c r="CA40" s="4" t="s">
        <v>809</v>
      </c>
      <c r="CB40" s="57" t="s">
        <v>810</v>
      </c>
      <c r="CC40" s="57" t="s">
        <v>811</v>
      </c>
      <c r="CD40" s="57"/>
      <c r="CF40" s="3" t="str">
        <f t="shared" si="1"/>
        <v>P08</v>
      </c>
      <c r="CG40" s="57" t="s">
        <v>812</v>
      </c>
    </row>
    <row r="41" spans="7:85" ht="43.15">
      <c r="G41" s="112"/>
      <c r="H41" s="85"/>
      <c r="I41" s="85"/>
      <c r="J41" s="85"/>
      <c r="K41" s="113"/>
      <c r="BW41" s="70" t="s">
        <v>797</v>
      </c>
      <c r="BX41" s="73" t="s">
        <v>813</v>
      </c>
      <c r="BZ41" s="6" t="str">
        <f t="shared" si="0"/>
        <v>L18</v>
      </c>
      <c r="CA41" s="4" t="s">
        <v>814</v>
      </c>
      <c r="CB41" s="57" t="s">
        <v>815</v>
      </c>
      <c r="CC41" s="57" t="s">
        <v>816</v>
      </c>
      <c r="CD41" s="57"/>
      <c r="CF41" s="3" t="str">
        <f t="shared" si="1"/>
        <v>P09</v>
      </c>
      <c r="CG41" s="57" t="s">
        <v>817</v>
      </c>
    </row>
    <row r="42" spans="7:85" ht="28.9">
      <c r="G42" s="112"/>
      <c r="H42" s="85"/>
      <c r="I42" s="85"/>
      <c r="J42" s="85"/>
      <c r="K42" s="113"/>
      <c r="BW42" s="70" t="s">
        <v>797</v>
      </c>
      <c r="BX42" s="73" t="s">
        <v>818</v>
      </c>
      <c r="BZ42" s="6" t="str">
        <f t="shared" si="0"/>
        <v>L18</v>
      </c>
      <c r="CA42" s="4" t="s">
        <v>819</v>
      </c>
      <c r="CB42" s="57" t="s">
        <v>820</v>
      </c>
      <c r="CC42" s="57" t="s">
        <v>821</v>
      </c>
      <c r="CD42" s="57"/>
      <c r="CF42" s="3" t="str">
        <f t="shared" si="1"/>
        <v>P10</v>
      </c>
      <c r="CG42" s="57" t="s">
        <v>822</v>
      </c>
    </row>
    <row r="43" spans="7:85" ht="43.15">
      <c r="G43" s="112"/>
      <c r="H43" s="85"/>
      <c r="I43" s="85"/>
      <c r="J43" s="85"/>
      <c r="K43" s="113"/>
      <c r="BW43" s="70" t="s">
        <v>797</v>
      </c>
      <c r="BX43" s="73" t="s">
        <v>823</v>
      </c>
      <c r="BZ43" s="6" t="str">
        <f t="shared" si="0"/>
        <v>L19</v>
      </c>
      <c r="CA43" s="4" t="s">
        <v>824</v>
      </c>
      <c r="CB43" s="57" t="s">
        <v>503</v>
      </c>
      <c r="CC43" s="57" t="s">
        <v>825</v>
      </c>
      <c r="CD43" s="57"/>
      <c r="CF43" s="3" t="str">
        <f t="shared" si="1"/>
        <v>P11</v>
      </c>
      <c r="CG43" s="57" t="s">
        <v>826</v>
      </c>
    </row>
    <row r="44" spans="7:85" ht="43.15">
      <c r="G44" s="112"/>
      <c r="H44" s="85"/>
      <c r="I44" s="85"/>
      <c r="J44" s="85"/>
      <c r="K44" s="113"/>
      <c r="BW44" s="69" t="s">
        <v>827</v>
      </c>
      <c r="BX44" s="72" t="s">
        <v>828</v>
      </c>
      <c r="BZ44" s="6" t="str">
        <f t="shared" si="0"/>
        <v>L20</v>
      </c>
      <c r="CA44" s="4" t="s">
        <v>829</v>
      </c>
      <c r="CB44" s="57" t="s">
        <v>830</v>
      </c>
      <c r="CC44" s="57" t="s">
        <v>831</v>
      </c>
      <c r="CD44" s="57"/>
      <c r="CF44" s="3" t="str">
        <f t="shared" si="1"/>
        <v>P12</v>
      </c>
      <c r="CG44" s="57" t="s">
        <v>832</v>
      </c>
    </row>
    <row r="45" spans="7:85" ht="43.15">
      <c r="G45" s="112"/>
      <c r="H45" s="85"/>
      <c r="I45" s="85"/>
      <c r="J45" s="85"/>
      <c r="K45" s="113"/>
      <c r="BW45" s="69" t="s">
        <v>827</v>
      </c>
      <c r="BX45" s="72" t="s">
        <v>833</v>
      </c>
      <c r="BZ45" s="6" t="str">
        <f t="shared" si="0"/>
        <v>L21</v>
      </c>
      <c r="CA45" s="4" t="s">
        <v>834</v>
      </c>
      <c r="CB45" s="57" t="s">
        <v>507</v>
      </c>
      <c r="CC45" s="57" t="s">
        <v>835</v>
      </c>
      <c r="CD45" s="57"/>
      <c r="CF45" s="3" t="str">
        <f t="shared" si="1"/>
        <v>T01</v>
      </c>
      <c r="CG45" s="57" t="s">
        <v>836</v>
      </c>
    </row>
    <row r="46" spans="7:85" ht="43.15">
      <c r="G46" s="112"/>
      <c r="H46" s="85"/>
      <c r="I46" s="85"/>
      <c r="J46" s="85"/>
      <c r="K46" s="113"/>
      <c r="BW46" s="69" t="s">
        <v>827</v>
      </c>
      <c r="BX46" s="72" t="s">
        <v>837</v>
      </c>
      <c r="BZ46" s="6" t="str">
        <f t="shared" si="0"/>
        <v>L22</v>
      </c>
      <c r="CA46" s="4" t="s">
        <v>838</v>
      </c>
      <c r="CB46" s="57" t="s">
        <v>839</v>
      </c>
      <c r="CC46" s="57" t="s">
        <v>840</v>
      </c>
      <c r="CD46" s="57"/>
      <c r="CF46" s="3" t="str">
        <f t="shared" si="1"/>
        <v>T02</v>
      </c>
      <c r="CG46" s="57" t="s">
        <v>841</v>
      </c>
    </row>
    <row r="47" spans="7:85" ht="28.9">
      <c r="G47" s="112"/>
      <c r="H47" s="85"/>
      <c r="I47" s="85"/>
      <c r="J47" s="85"/>
      <c r="K47" s="113"/>
      <c r="BW47" s="69" t="s">
        <v>827</v>
      </c>
      <c r="BX47" s="72" t="s">
        <v>842</v>
      </c>
      <c r="BZ47" s="6" t="str">
        <f t="shared" si="0"/>
        <v>M01</v>
      </c>
      <c r="CA47" s="4" t="s">
        <v>843</v>
      </c>
      <c r="CB47" s="57" t="s">
        <v>509</v>
      </c>
      <c r="CC47" s="57" t="s">
        <v>844</v>
      </c>
      <c r="CD47" s="57"/>
      <c r="CF47" s="3" t="str">
        <f t="shared" si="1"/>
        <v>T03</v>
      </c>
      <c r="CG47" s="57" t="s">
        <v>845</v>
      </c>
    </row>
    <row r="48" spans="7:85" ht="43.15">
      <c r="G48" s="112"/>
      <c r="H48" s="85"/>
      <c r="I48" s="85"/>
      <c r="J48" s="85"/>
      <c r="K48" s="113"/>
      <c r="BW48" s="69" t="s">
        <v>827</v>
      </c>
      <c r="BX48" s="72" t="s">
        <v>846</v>
      </c>
      <c r="BZ48" s="6" t="str">
        <f t="shared" si="0"/>
        <v>M02</v>
      </c>
      <c r="CA48" s="4" t="s">
        <v>847</v>
      </c>
      <c r="CB48" s="57" t="s">
        <v>848</v>
      </c>
      <c r="CC48" s="57" t="s">
        <v>849</v>
      </c>
      <c r="CD48" s="57"/>
      <c r="CF48" s="3" t="str">
        <f t="shared" si="1"/>
        <v>T04</v>
      </c>
      <c r="CG48" s="57" t="s">
        <v>850</v>
      </c>
    </row>
    <row r="49" spans="7:85" ht="43.15">
      <c r="G49" s="112"/>
      <c r="H49" s="85"/>
      <c r="I49" s="85"/>
      <c r="J49" s="85"/>
      <c r="K49" s="113"/>
      <c r="BW49" s="69" t="s">
        <v>827</v>
      </c>
      <c r="BX49" s="72" t="s">
        <v>851</v>
      </c>
      <c r="BZ49" s="6" t="str">
        <f t="shared" si="0"/>
        <v>M03</v>
      </c>
      <c r="CA49" s="4" t="s">
        <v>852</v>
      </c>
      <c r="CB49" s="57" t="s">
        <v>853</v>
      </c>
      <c r="CC49" s="57" t="s">
        <v>854</v>
      </c>
      <c r="CD49" s="57"/>
      <c r="CF49" s="3" t="str">
        <f t="shared" si="1"/>
        <v>T05</v>
      </c>
      <c r="CG49" s="57" t="s">
        <v>855</v>
      </c>
    </row>
    <row r="50" spans="7:85" ht="29.45" thickBot="1">
      <c r="G50" s="114"/>
      <c r="H50" s="115"/>
      <c r="I50" s="115"/>
      <c r="J50" s="115"/>
      <c r="K50" s="116"/>
      <c r="BW50" s="69" t="s">
        <v>827</v>
      </c>
      <c r="BX50" s="72" t="s">
        <v>856</v>
      </c>
      <c r="BZ50" s="6" t="str">
        <f t="shared" si="0"/>
        <v>M04</v>
      </c>
      <c r="CA50" s="4" t="s">
        <v>857</v>
      </c>
      <c r="CB50" s="57" t="s">
        <v>858</v>
      </c>
      <c r="CC50" s="57" t="s">
        <v>859</v>
      </c>
      <c r="CD50" s="57"/>
      <c r="CF50" s="3" t="str">
        <f t="shared" si="1"/>
        <v>T06</v>
      </c>
      <c r="CG50" s="57" t="s">
        <v>860</v>
      </c>
    </row>
    <row r="51" spans="7:85" ht="43.15">
      <c r="BW51" s="69" t="s">
        <v>827</v>
      </c>
      <c r="BX51" s="72" t="s">
        <v>861</v>
      </c>
      <c r="BZ51" s="6" t="str">
        <f t="shared" si="0"/>
        <v>M05</v>
      </c>
      <c r="CA51" s="4" t="s">
        <v>862</v>
      </c>
      <c r="CB51" s="57" t="s">
        <v>605</v>
      </c>
      <c r="CC51" s="57" t="s">
        <v>863</v>
      </c>
      <c r="CD51" s="57"/>
      <c r="CF51" s="3" t="str">
        <f t="shared" si="1"/>
        <v>T07</v>
      </c>
      <c r="CG51" s="57" t="s">
        <v>864</v>
      </c>
    </row>
    <row r="52" spans="7:85" ht="28.9">
      <c r="BW52" s="69" t="s">
        <v>827</v>
      </c>
      <c r="BX52" s="72" t="s">
        <v>865</v>
      </c>
      <c r="BZ52" s="6" t="str">
        <f t="shared" si="0"/>
        <v>M06</v>
      </c>
      <c r="CA52" s="4" t="s">
        <v>866</v>
      </c>
      <c r="CB52" s="57" t="s">
        <v>528</v>
      </c>
      <c r="CC52" s="57" t="s">
        <v>867</v>
      </c>
      <c r="CD52" s="57"/>
      <c r="CF52" s="3" t="str">
        <f t="shared" si="1"/>
        <v>T08</v>
      </c>
      <c r="CG52" s="57" t="s">
        <v>868</v>
      </c>
    </row>
    <row r="53" spans="7:85" ht="115.15">
      <c r="BW53" s="70" t="s">
        <v>869</v>
      </c>
      <c r="BX53" s="73" t="s">
        <v>870</v>
      </c>
      <c r="BZ53" s="6" t="str">
        <f t="shared" si="0"/>
        <v>M07</v>
      </c>
      <c r="CA53" s="4" t="s">
        <v>871</v>
      </c>
      <c r="CB53" s="57" t="s">
        <v>872</v>
      </c>
      <c r="CC53" s="57" t="s">
        <v>873</v>
      </c>
      <c r="CD53" s="57"/>
      <c r="CF53" s="3" t="str">
        <f t="shared" si="1"/>
        <v>T09</v>
      </c>
      <c r="CG53" s="57" t="s">
        <v>874</v>
      </c>
    </row>
    <row r="54" spans="7:85" ht="86.45">
      <c r="BW54" s="70" t="s">
        <v>869</v>
      </c>
      <c r="BX54" s="73" t="s">
        <v>875</v>
      </c>
      <c r="BZ54" s="6" t="str">
        <f t="shared" si="0"/>
        <v>M08</v>
      </c>
      <c r="CA54" s="4" t="s">
        <v>876</v>
      </c>
      <c r="CB54" s="57" t="s">
        <v>877</v>
      </c>
      <c r="CC54" s="57" t="s">
        <v>878</v>
      </c>
      <c r="CD54" s="57"/>
      <c r="CF54" s="3" t="str">
        <f t="shared" si="1"/>
        <v>T10</v>
      </c>
      <c r="CG54" s="57" t="s">
        <v>879</v>
      </c>
    </row>
    <row r="55" spans="7:85" ht="28.9">
      <c r="BW55" s="69" t="s">
        <v>880</v>
      </c>
      <c r="BX55" s="72" t="s">
        <v>881</v>
      </c>
      <c r="BZ55" s="6" t="str">
        <f t="shared" si="0"/>
        <v>M09</v>
      </c>
      <c r="CA55" s="4" t="s">
        <v>882</v>
      </c>
      <c r="CB55" s="57" t="s">
        <v>883</v>
      </c>
      <c r="CC55" s="57" t="s">
        <v>884</v>
      </c>
      <c r="CD55" s="57"/>
      <c r="CF55" s="3" t="str">
        <f t="shared" si="1"/>
        <v>T11</v>
      </c>
      <c r="CG55" s="57" t="s">
        <v>885</v>
      </c>
    </row>
    <row r="56" spans="7:85" ht="28.9">
      <c r="BW56" s="69" t="s">
        <v>880</v>
      </c>
      <c r="BX56" s="72" t="s">
        <v>886</v>
      </c>
      <c r="BZ56" s="6" t="str">
        <f t="shared" si="0"/>
        <v>P01</v>
      </c>
      <c r="CA56" s="4" t="s">
        <v>887</v>
      </c>
      <c r="CB56" s="57" t="s">
        <v>888</v>
      </c>
      <c r="CC56" s="57" t="s">
        <v>889</v>
      </c>
      <c r="CD56" s="57"/>
      <c r="CF56" s="3" t="str">
        <f t="shared" si="1"/>
        <v>T12</v>
      </c>
      <c r="CG56" s="57" t="s">
        <v>890</v>
      </c>
    </row>
    <row r="57" spans="7:85" ht="28.9">
      <c r="BW57" s="69" t="s">
        <v>880</v>
      </c>
      <c r="BX57" s="72" t="s">
        <v>891</v>
      </c>
      <c r="BZ57" s="6" t="str">
        <f t="shared" si="0"/>
        <v>P02</v>
      </c>
      <c r="CA57" s="4" t="s">
        <v>892</v>
      </c>
      <c r="CB57" s="57" t="s">
        <v>893</v>
      </c>
      <c r="CC57" s="57" t="s">
        <v>894</v>
      </c>
      <c r="CD57" s="57"/>
      <c r="CF57" s="3" t="str">
        <f t="shared" si="1"/>
        <v>T13</v>
      </c>
      <c r="CG57" s="57" t="s">
        <v>895</v>
      </c>
    </row>
    <row r="58" spans="7:85" ht="28.9">
      <c r="BW58" s="69" t="s">
        <v>880</v>
      </c>
      <c r="BX58" s="72" t="s">
        <v>896</v>
      </c>
      <c r="BZ58" s="6" t="str">
        <f t="shared" si="0"/>
        <v>P03</v>
      </c>
      <c r="CA58" s="4" t="s">
        <v>897</v>
      </c>
      <c r="CB58" s="57" t="s">
        <v>898</v>
      </c>
      <c r="CC58" s="57" t="s">
        <v>899</v>
      </c>
      <c r="CD58" s="57"/>
      <c r="CF58" s="3" t="str">
        <f t="shared" si="1"/>
        <v>T14</v>
      </c>
      <c r="CG58" s="57" t="s">
        <v>900</v>
      </c>
    </row>
    <row r="59" spans="7:85" ht="72">
      <c r="BW59" s="70" t="s">
        <v>901</v>
      </c>
      <c r="BX59" s="73" t="s">
        <v>902</v>
      </c>
      <c r="BZ59" s="6" t="str">
        <f t="shared" si="0"/>
        <v>P04</v>
      </c>
      <c r="CA59" s="4" t="s">
        <v>903</v>
      </c>
      <c r="CB59" s="57" t="s">
        <v>542</v>
      </c>
      <c r="CC59" s="57" t="s">
        <v>904</v>
      </c>
      <c r="CD59" s="57"/>
      <c r="CF59" s="3" t="str">
        <f t="shared" si="1"/>
        <v>T15</v>
      </c>
      <c r="CG59" s="57" t="s">
        <v>905</v>
      </c>
    </row>
    <row r="60" spans="7:85" ht="72">
      <c r="BW60" s="70" t="s">
        <v>901</v>
      </c>
      <c r="BX60" s="73" t="s">
        <v>906</v>
      </c>
      <c r="BZ60" s="6" t="str">
        <f t="shared" si="0"/>
        <v>P05</v>
      </c>
      <c r="CA60" s="4" t="s">
        <v>907</v>
      </c>
      <c r="CB60" s="57" t="s">
        <v>908</v>
      </c>
      <c r="CC60" s="57" t="s">
        <v>909</v>
      </c>
      <c r="CD60" s="57"/>
      <c r="CF60" s="3" t="str">
        <f t="shared" si="1"/>
        <v>T16</v>
      </c>
      <c r="CG60" s="57" t="s">
        <v>910</v>
      </c>
    </row>
    <row r="61" spans="7:85" ht="28.9">
      <c r="BW61" s="70" t="s">
        <v>901</v>
      </c>
      <c r="BX61" s="73" t="s">
        <v>911</v>
      </c>
      <c r="BZ61" s="6" t="str">
        <f t="shared" si="0"/>
        <v>P06</v>
      </c>
      <c r="CA61" s="4" t="s">
        <v>912</v>
      </c>
      <c r="CB61" s="57" t="s">
        <v>913</v>
      </c>
      <c r="CC61" s="57" t="s">
        <v>914</v>
      </c>
      <c r="CD61" s="57"/>
    </row>
    <row r="62" spans="7:85" ht="28.9">
      <c r="BW62" s="70" t="s">
        <v>901</v>
      </c>
      <c r="BX62" s="73" t="s">
        <v>915</v>
      </c>
      <c r="BZ62" s="6" t="str">
        <f t="shared" si="0"/>
        <v>P07</v>
      </c>
      <c r="CA62" s="4" t="s">
        <v>916</v>
      </c>
      <c r="CB62" s="57" t="s">
        <v>917</v>
      </c>
      <c r="CC62" s="57" t="s">
        <v>918</v>
      </c>
      <c r="CD62" s="57"/>
    </row>
    <row r="63" spans="7:85" ht="57.6">
      <c r="BW63" s="69" t="s">
        <v>919</v>
      </c>
      <c r="BX63" s="72" t="s">
        <v>920</v>
      </c>
      <c r="BZ63" s="6" t="str">
        <f t="shared" si="0"/>
        <v>P08</v>
      </c>
      <c r="CA63" s="4" t="s">
        <v>921</v>
      </c>
      <c r="CB63" s="57" t="s">
        <v>922</v>
      </c>
      <c r="CC63" s="57" t="s">
        <v>923</v>
      </c>
      <c r="CD63" s="57"/>
    </row>
    <row r="64" spans="7:85" ht="72">
      <c r="BW64" s="69" t="s">
        <v>919</v>
      </c>
      <c r="BX64" s="72" t="s">
        <v>924</v>
      </c>
      <c r="BZ64" s="6" t="str">
        <f t="shared" si="0"/>
        <v>P09</v>
      </c>
      <c r="CA64" s="4" t="s">
        <v>925</v>
      </c>
      <c r="CB64" s="57" t="s">
        <v>560</v>
      </c>
      <c r="CC64" s="57" t="s">
        <v>926</v>
      </c>
      <c r="CD64" s="57"/>
    </row>
    <row r="65" spans="75:82" ht="43.15">
      <c r="BW65" s="69" t="s">
        <v>919</v>
      </c>
      <c r="BX65" s="72" t="s">
        <v>927</v>
      </c>
      <c r="BZ65" s="6" t="str">
        <f t="shared" si="0"/>
        <v>P10</v>
      </c>
      <c r="CA65" s="4" t="s">
        <v>928</v>
      </c>
      <c r="CB65" s="57" t="s">
        <v>929</v>
      </c>
      <c r="CC65" s="57" t="s">
        <v>930</v>
      </c>
      <c r="CD65" s="57"/>
    </row>
    <row r="66" spans="75:82" ht="43.15">
      <c r="BW66" s="70" t="s">
        <v>931</v>
      </c>
      <c r="BX66" s="73" t="s">
        <v>932</v>
      </c>
      <c r="BZ66" s="6" t="str">
        <f t="shared" si="0"/>
        <v>P11</v>
      </c>
      <c r="CA66" s="4" t="s">
        <v>933</v>
      </c>
      <c r="CB66" s="57" t="s">
        <v>934</v>
      </c>
      <c r="CC66" s="57" t="s">
        <v>935</v>
      </c>
      <c r="CD66" s="57"/>
    </row>
    <row r="67" spans="75:82" ht="72">
      <c r="BW67" s="70" t="s">
        <v>931</v>
      </c>
      <c r="BX67" s="73" t="s">
        <v>936</v>
      </c>
      <c r="BZ67" s="6" t="str">
        <f t="shared" ref="BZ67:BZ83" si="2">+LEFT(CA67,3)</f>
        <v>P12</v>
      </c>
      <c r="CA67" s="4" t="s">
        <v>937</v>
      </c>
      <c r="CB67" s="57" t="s">
        <v>567</v>
      </c>
      <c r="CC67" s="57" t="s">
        <v>938</v>
      </c>
      <c r="CD67" s="57"/>
    </row>
    <row r="68" spans="75:82" ht="28.9">
      <c r="BW68" s="69" t="s">
        <v>939</v>
      </c>
      <c r="BX68" s="72" t="s">
        <v>940</v>
      </c>
      <c r="BZ68" s="6" t="str">
        <f t="shared" si="2"/>
        <v>T01</v>
      </c>
      <c r="CA68" s="4" t="s">
        <v>941</v>
      </c>
      <c r="CB68" s="57" t="s">
        <v>942</v>
      </c>
      <c r="CC68" s="57" t="s">
        <v>943</v>
      </c>
      <c r="CD68" s="57"/>
    </row>
    <row r="69" spans="75:82" ht="28.9">
      <c r="BW69" s="69" t="s">
        <v>939</v>
      </c>
      <c r="BX69" s="72" t="s">
        <v>944</v>
      </c>
      <c r="BZ69" s="6" t="str">
        <f t="shared" si="2"/>
        <v>T02</v>
      </c>
      <c r="CA69" s="4" t="s">
        <v>77</v>
      </c>
      <c r="CB69" s="57" t="s">
        <v>571</v>
      </c>
      <c r="CC69" s="57" t="s">
        <v>945</v>
      </c>
      <c r="CD69" s="57"/>
    </row>
    <row r="70" spans="75:82" ht="28.9">
      <c r="BW70" s="69" t="s">
        <v>939</v>
      </c>
      <c r="BX70" s="72" t="s">
        <v>946</v>
      </c>
      <c r="BZ70" s="6" t="str">
        <f t="shared" si="2"/>
        <v>T03</v>
      </c>
      <c r="CA70" s="4" t="s">
        <v>947</v>
      </c>
      <c r="CB70" s="57" t="s">
        <v>573</v>
      </c>
      <c r="CC70" s="57" t="s">
        <v>948</v>
      </c>
      <c r="CD70" s="57"/>
    </row>
    <row r="71" spans="75:82" ht="28.9">
      <c r="BW71" s="70" t="s">
        <v>949</v>
      </c>
      <c r="BX71" s="73" t="s">
        <v>950</v>
      </c>
      <c r="BZ71" s="6" t="str">
        <f t="shared" si="2"/>
        <v>T04</v>
      </c>
      <c r="CA71" s="4" t="s">
        <v>951</v>
      </c>
      <c r="CB71" s="57" t="s">
        <v>952</v>
      </c>
      <c r="CC71" s="57" t="s">
        <v>953</v>
      </c>
      <c r="CD71" s="57"/>
    </row>
    <row r="72" spans="75:82" ht="57.6">
      <c r="BW72" s="70" t="s">
        <v>949</v>
      </c>
      <c r="BX72" s="73" t="s">
        <v>954</v>
      </c>
      <c r="BZ72" s="6" t="str">
        <f t="shared" si="2"/>
        <v>T05</v>
      </c>
      <c r="CA72" s="4" t="s">
        <v>955</v>
      </c>
      <c r="CB72" s="57" t="s">
        <v>575</v>
      </c>
      <c r="CC72" s="57" t="s">
        <v>956</v>
      </c>
      <c r="CD72" s="57"/>
    </row>
    <row r="73" spans="75:82" ht="28.9">
      <c r="BW73" s="70" t="s">
        <v>949</v>
      </c>
      <c r="BX73" s="73" t="s">
        <v>957</v>
      </c>
      <c r="BZ73" s="6" t="str">
        <f t="shared" si="2"/>
        <v>T06</v>
      </c>
      <c r="CA73" s="4" t="s">
        <v>958</v>
      </c>
      <c r="CB73" s="57" t="s">
        <v>959</v>
      </c>
      <c r="CC73" s="57" t="s">
        <v>960</v>
      </c>
      <c r="CD73" s="57"/>
    </row>
    <row r="74" spans="75:82" ht="28.9">
      <c r="BW74" s="69" t="s">
        <v>961</v>
      </c>
      <c r="BX74" s="72" t="s">
        <v>962</v>
      </c>
      <c r="BZ74" s="6" t="str">
        <f t="shared" si="2"/>
        <v>T07</v>
      </c>
      <c r="CA74" s="4" t="s">
        <v>963</v>
      </c>
      <c r="CB74" s="57" t="s">
        <v>580</v>
      </c>
      <c r="CC74" s="57" t="s">
        <v>964</v>
      </c>
      <c r="CD74" s="57"/>
    </row>
    <row r="75" spans="75:82" ht="28.9">
      <c r="BW75" s="69" t="s">
        <v>961</v>
      </c>
      <c r="BX75" s="72" t="s">
        <v>965</v>
      </c>
      <c r="BZ75" s="6" t="str">
        <f t="shared" si="2"/>
        <v>T08</v>
      </c>
      <c r="CA75" s="4" t="s">
        <v>966</v>
      </c>
      <c r="CB75" s="57" t="s">
        <v>582</v>
      </c>
      <c r="CC75" s="57" t="s">
        <v>967</v>
      </c>
      <c r="CD75" s="57"/>
    </row>
    <row r="76" spans="75:82" ht="28.9">
      <c r="BW76" s="69" t="s">
        <v>961</v>
      </c>
      <c r="BX76" s="72" t="s">
        <v>968</v>
      </c>
      <c r="BZ76" s="6" t="str">
        <f t="shared" si="2"/>
        <v>T09</v>
      </c>
      <c r="CA76" s="4" t="s">
        <v>969</v>
      </c>
      <c r="CB76" s="57" t="s">
        <v>970</v>
      </c>
      <c r="CC76" s="57" t="s">
        <v>971</v>
      </c>
      <c r="CD76" s="57"/>
    </row>
    <row r="77" spans="75:82" ht="28.9">
      <c r="BW77" s="70" t="s">
        <v>972</v>
      </c>
      <c r="BX77" s="73" t="s">
        <v>973</v>
      </c>
      <c r="BZ77" s="6" t="str">
        <f t="shared" si="2"/>
        <v>T10</v>
      </c>
      <c r="CA77" s="4" t="s">
        <v>974</v>
      </c>
      <c r="CB77" s="57" t="s">
        <v>975</v>
      </c>
      <c r="CC77" s="57" t="s">
        <v>976</v>
      </c>
      <c r="CD77" s="57"/>
    </row>
    <row r="78" spans="75:82" ht="28.9">
      <c r="BW78" s="70" t="s">
        <v>972</v>
      </c>
      <c r="BX78" s="73" t="s">
        <v>977</v>
      </c>
      <c r="BZ78" s="6" t="str">
        <f t="shared" si="2"/>
        <v>T11</v>
      </c>
      <c r="CA78" s="4" t="s">
        <v>978</v>
      </c>
      <c r="CB78" s="57" t="s">
        <v>979</v>
      </c>
      <c r="CC78" s="57" t="s">
        <v>980</v>
      </c>
      <c r="CD78" s="57"/>
    </row>
    <row r="79" spans="75:82" ht="57.6">
      <c r="BW79" s="70" t="s">
        <v>972</v>
      </c>
      <c r="BX79" s="73" t="s">
        <v>981</v>
      </c>
      <c r="BZ79" s="6" t="str">
        <f t="shared" si="2"/>
        <v>T12</v>
      </c>
      <c r="CA79" s="4" t="s">
        <v>982</v>
      </c>
      <c r="CB79" s="57" t="s">
        <v>983</v>
      </c>
      <c r="CC79" s="57" t="s">
        <v>984</v>
      </c>
      <c r="CD79" s="57"/>
    </row>
    <row r="80" spans="75:82" ht="57.6">
      <c r="BW80" s="69" t="s">
        <v>985</v>
      </c>
      <c r="BX80" s="72" t="s">
        <v>986</v>
      </c>
      <c r="BZ80" s="6" t="str">
        <f t="shared" si="2"/>
        <v>T13</v>
      </c>
      <c r="CA80" s="4" t="s">
        <v>987</v>
      </c>
      <c r="CB80" s="57" t="s">
        <v>592</v>
      </c>
      <c r="CC80" s="57" t="s">
        <v>988</v>
      </c>
      <c r="CD80" s="57"/>
    </row>
    <row r="81" spans="75:82" ht="28.9">
      <c r="BW81" s="69" t="s">
        <v>985</v>
      </c>
      <c r="BX81" s="72" t="s">
        <v>989</v>
      </c>
      <c r="BZ81" s="6" t="str">
        <f t="shared" si="2"/>
        <v>T14</v>
      </c>
      <c r="CA81" s="4" t="s">
        <v>990</v>
      </c>
      <c r="CB81" s="57" t="s">
        <v>991</v>
      </c>
      <c r="CC81" s="57" t="s">
        <v>992</v>
      </c>
      <c r="CD81" s="57"/>
    </row>
    <row r="82" spans="75:82" ht="28.9">
      <c r="BW82" s="69" t="s">
        <v>985</v>
      </c>
      <c r="BX82" s="72" t="s">
        <v>993</v>
      </c>
      <c r="BZ82" s="6" t="str">
        <f t="shared" si="2"/>
        <v>T15</v>
      </c>
      <c r="CA82" s="4" t="s">
        <v>994</v>
      </c>
      <c r="CB82" s="57" t="s">
        <v>995</v>
      </c>
      <c r="CC82" s="57" t="s">
        <v>996</v>
      </c>
      <c r="CD82" s="57"/>
    </row>
    <row r="83" spans="75:82" ht="28.9">
      <c r="BW83" s="70" t="s">
        <v>997</v>
      </c>
      <c r="BX83" s="73" t="s">
        <v>998</v>
      </c>
      <c r="BZ83" s="6" t="str">
        <f t="shared" si="2"/>
        <v>T16</v>
      </c>
      <c r="CA83" s="4" t="s">
        <v>999</v>
      </c>
      <c r="CB83" s="57" t="s">
        <v>1000</v>
      </c>
      <c r="CC83" s="57" t="s">
        <v>1001</v>
      </c>
      <c r="CD83" s="57"/>
    </row>
    <row r="84" spans="75:82" ht="28.9">
      <c r="BW84" s="70" t="s">
        <v>997</v>
      </c>
      <c r="BX84" s="73" t="s">
        <v>1002</v>
      </c>
    </row>
    <row r="85" spans="75:82" ht="28.9">
      <c r="BW85" s="70" t="s">
        <v>997</v>
      </c>
      <c r="BX85" s="73" t="s">
        <v>1003</v>
      </c>
    </row>
    <row r="86" spans="75:82" ht="28.9">
      <c r="BW86" s="70" t="s">
        <v>997</v>
      </c>
      <c r="BX86" s="73" t="s">
        <v>1004</v>
      </c>
    </row>
    <row r="87" spans="75:82" ht="28.9">
      <c r="BW87" s="70" t="s">
        <v>997</v>
      </c>
      <c r="BX87" s="73" t="s">
        <v>1005</v>
      </c>
    </row>
    <row r="88" spans="75:82" ht="28.9">
      <c r="BW88" s="69" t="s">
        <v>1006</v>
      </c>
      <c r="BX88" s="72" t="s">
        <v>1007</v>
      </c>
    </row>
    <row r="89" spans="75:82" ht="28.9">
      <c r="BW89" s="69" t="s">
        <v>1006</v>
      </c>
      <c r="BX89" s="72" t="s">
        <v>1008</v>
      </c>
    </row>
    <row r="90" spans="75:82" ht="28.9">
      <c r="BW90" s="69" t="s">
        <v>1006</v>
      </c>
      <c r="BX90" s="72" t="s">
        <v>1009</v>
      </c>
    </row>
    <row r="91" spans="75:82" ht="57.6">
      <c r="BW91" s="70" t="s">
        <v>1010</v>
      </c>
      <c r="BX91" s="73" t="s">
        <v>1011</v>
      </c>
    </row>
    <row r="92" spans="75:82" ht="28.9">
      <c r="BW92" s="70" t="s">
        <v>1010</v>
      </c>
      <c r="BX92" s="73" t="s">
        <v>1012</v>
      </c>
    </row>
    <row r="93" spans="75:82" ht="28.9">
      <c r="BW93" s="70" t="s">
        <v>1010</v>
      </c>
      <c r="BX93" s="73" t="s">
        <v>1013</v>
      </c>
    </row>
    <row r="94" spans="75:82" ht="28.9">
      <c r="BW94" s="70" t="s">
        <v>1010</v>
      </c>
      <c r="BX94" s="73" t="s">
        <v>1014</v>
      </c>
    </row>
    <row r="95" spans="75:82" ht="28.9">
      <c r="BW95" s="69" t="s">
        <v>1015</v>
      </c>
      <c r="BX95" s="72" t="s">
        <v>1016</v>
      </c>
    </row>
    <row r="96" spans="75:82" ht="28.9">
      <c r="BW96" s="69" t="s">
        <v>1015</v>
      </c>
      <c r="BX96" s="72" t="s">
        <v>1017</v>
      </c>
    </row>
    <row r="97" spans="75:76" ht="28.9">
      <c r="BW97" s="69" t="s">
        <v>1015</v>
      </c>
      <c r="BX97" s="72" t="s">
        <v>1018</v>
      </c>
    </row>
    <row r="98" spans="75:76" ht="28.9">
      <c r="BW98" s="69" t="s">
        <v>1015</v>
      </c>
      <c r="BX98" s="72" t="s">
        <v>1019</v>
      </c>
    </row>
    <row r="99" spans="75:76" ht="28.9">
      <c r="BW99" s="69" t="s">
        <v>1015</v>
      </c>
      <c r="BX99" s="72" t="s">
        <v>1020</v>
      </c>
    </row>
    <row r="100" spans="75:76" ht="43.15">
      <c r="BW100" s="70" t="s">
        <v>1021</v>
      </c>
      <c r="BX100" s="73" t="s">
        <v>1022</v>
      </c>
    </row>
    <row r="101" spans="75:76" ht="28.9">
      <c r="BW101" s="70" t="s">
        <v>1021</v>
      </c>
      <c r="BX101" s="73" t="s">
        <v>1023</v>
      </c>
    </row>
    <row r="102" spans="75:76" ht="72">
      <c r="BW102" s="70" t="s">
        <v>1021</v>
      </c>
      <c r="BX102" s="73" t="s">
        <v>1024</v>
      </c>
    </row>
    <row r="103" spans="75:76" ht="57.6">
      <c r="BW103" s="69" t="s">
        <v>1025</v>
      </c>
      <c r="BX103" s="72" t="s">
        <v>1026</v>
      </c>
    </row>
    <row r="104" spans="75:76" ht="43.15">
      <c r="BW104" s="69" t="s">
        <v>1025</v>
      </c>
      <c r="BX104" s="72" t="s">
        <v>1027</v>
      </c>
    </row>
    <row r="105" spans="75:76" ht="28.9">
      <c r="BW105" s="69" t="s">
        <v>1025</v>
      </c>
      <c r="BX105" s="72" t="s">
        <v>1028</v>
      </c>
    </row>
    <row r="106" spans="75:76" ht="43.15">
      <c r="BW106" s="69" t="s">
        <v>1025</v>
      </c>
      <c r="BX106" s="72" t="s">
        <v>1029</v>
      </c>
    </row>
    <row r="107" spans="75:76" ht="28.9">
      <c r="BW107" s="70" t="s">
        <v>1030</v>
      </c>
      <c r="BX107" s="73" t="s">
        <v>1031</v>
      </c>
    </row>
    <row r="108" spans="75:76" ht="28.9">
      <c r="BW108" s="70" t="s">
        <v>1030</v>
      </c>
      <c r="BX108" s="73" t="s">
        <v>1032</v>
      </c>
    </row>
    <row r="109" spans="75:76" ht="28.9">
      <c r="BW109" s="70" t="s">
        <v>1030</v>
      </c>
      <c r="BX109" s="73" t="s">
        <v>1033</v>
      </c>
    </row>
    <row r="110" spans="75:76" ht="28.9">
      <c r="BW110" s="70" t="s">
        <v>1030</v>
      </c>
      <c r="BX110" s="73" t="s">
        <v>1034</v>
      </c>
    </row>
    <row r="111" spans="75:76" ht="28.9">
      <c r="BW111" s="70" t="s">
        <v>1030</v>
      </c>
      <c r="BX111" s="73" t="s">
        <v>1035</v>
      </c>
    </row>
    <row r="112" spans="75:76" ht="28.9">
      <c r="BW112" s="70" t="s">
        <v>1030</v>
      </c>
      <c r="BX112" s="73" t="s">
        <v>1036</v>
      </c>
    </row>
    <row r="113" spans="75:76" ht="28.9">
      <c r="BW113" s="69" t="s">
        <v>1037</v>
      </c>
      <c r="BX113" s="72" t="s">
        <v>1038</v>
      </c>
    </row>
    <row r="114" spans="75:76" ht="28.9">
      <c r="BW114" s="69" t="s">
        <v>1037</v>
      </c>
      <c r="BX114" s="72" t="s">
        <v>1039</v>
      </c>
    </row>
    <row r="115" spans="75:76" ht="28.9">
      <c r="BW115" s="69" t="s">
        <v>1037</v>
      </c>
      <c r="BX115" s="72" t="s">
        <v>1040</v>
      </c>
    </row>
    <row r="116" spans="75:76" ht="28.9">
      <c r="BW116" s="70" t="s">
        <v>1041</v>
      </c>
      <c r="BX116" s="73" t="s">
        <v>1042</v>
      </c>
    </row>
    <row r="117" spans="75:76" ht="43.15">
      <c r="BW117" s="70" t="s">
        <v>1041</v>
      </c>
      <c r="BX117" s="73" t="s">
        <v>1043</v>
      </c>
    </row>
    <row r="118" spans="75:76" ht="28.9">
      <c r="BW118" s="70" t="s">
        <v>1041</v>
      </c>
      <c r="BX118" s="73" t="s">
        <v>1044</v>
      </c>
    </row>
    <row r="119" spans="75:76" ht="43.15">
      <c r="BW119" s="70" t="s">
        <v>1041</v>
      </c>
      <c r="BX119" s="73" t="s">
        <v>1045</v>
      </c>
    </row>
    <row r="120" spans="75:76" ht="43.15">
      <c r="BW120" s="69" t="s">
        <v>1046</v>
      </c>
      <c r="BX120" s="72" t="s">
        <v>1047</v>
      </c>
    </row>
    <row r="121" spans="75:76" ht="43.15">
      <c r="BW121" s="69" t="s">
        <v>1046</v>
      </c>
      <c r="BX121" s="72" t="s">
        <v>1048</v>
      </c>
    </row>
    <row r="122" spans="75:76" ht="43.15">
      <c r="BW122" s="69" t="s">
        <v>1046</v>
      </c>
      <c r="BX122" s="72" t="s">
        <v>1049</v>
      </c>
    </row>
    <row r="123" spans="75:76" ht="43.15">
      <c r="BW123" s="69" t="s">
        <v>1046</v>
      </c>
      <c r="BX123" s="72" t="s">
        <v>1050</v>
      </c>
    </row>
    <row r="124" spans="75:76" ht="28.9">
      <c r="BW124" s="69" t="s">
        <v>1046</v>
      </c>
      <c r="BX124" s="72" t="s">
        <v>1051</v>
      </c>
    </row>
    <row r="125" spans="75:76" ht="43.15">
      <c r="BW125" s="70" t="s">
        <v>1052</v>
      </c>
      <c r="BX125" s="73" t="s">
        <v>1053</v>
      </c>
    </row>
    <row r="126" spans="75:76" ht="28.9">
      <c r="BW126" s="70" t="s">
        <v>1052</v>
      </c>
      <c r="BX126" s="73" t="s">
        <v>1054</v>
      </c>
    </row>
    <row r="127" spans="75:76" ht="28.9">
      <c r="BW127" s="70" t="s">
        <v>1052</v>
      </c>
      <c r="BX127" s="73" t="s">
        <v>1055</v>
      </c>
    </row>
    <row r="128" spans="75:76" ht="28.9">
      <c r="BW128" s="70" t="s">
        <v>1052</v>
      </c>
      <c r="BX128" s="73" t="s">
        <v>1056</v>
      </c>
    </row>
    <row r="129" spans="75:76" ht="28.9">
      <c r="BW129" s="70" t="s">
        <v>1052</v>
      </c>
      <c r="BX129" s="73" t="s">
        <v>1057</v>
      </c>
    </row>
    <row r="130" spans="75:76" ht="28.9">
      <c r="BW130" s="70" t="s">
        <v>1052</v>
      </c>
      <c r="BX130" s="73" t="s">
        <v>1058</v>
      </c>
    </row>
    <row r="131" spans="75:76" ht="28.9">
      <c r="BW131" s="70" t="s">
        <v>1052</v>
      </c>
      <c r="BX131" s="73" t="s">
        <v>1059</v>
      </c>
    </row>
    <row r="132" spans="75:76" ht="28.9">
      <c r="BW132" s="70" t="s">
        <v>1052</v>
      </c>
      <c r="BX132" s="73" t="s">
        <v>1060</v>
      </c>
    </row>
    <row r="133" spans="75:76" ht="28.9">
      <c r="BW133" s="70" t="s">
        <v>1052</v>
      </c>
      <c r="BX133" s="73" t="s">
        <v>1061</v>
      </c>
    </row>
    <row r="134" spans="75:76" ht="28.9">
      <c r="BW134" s="69" t="s">
        <v>1062</v>
      </c>
      <c r="BX134" s="72" t="s">
        <v>1063</v>
      </c>
    </row>
    <row r="135" spans="75:76" ht="28.9">
      <c r="BW135" s="69" t="s">
        <v>1062</v>
      </c>
      <c r="BX135" s="72" t="s">
        <v>1064</v>
      </c>
    </row>
    <row r="136" spans="75:76" ht="43.15">
      <c r="BW136" s="69" t="s">
        <v>1062</v>
      </c>
      <c r="BX136" s="72" t="s">
        <v>1065</v>
      </c>
    </row>
    <row r="137" spans="75:76" ht="43.15">
      <c r="BW137" s="69" t="s">
        <v>1062</v>
      </c>
      <c r="BX137" s="72" t="s">
        <v>1066</v>
      </c>
    </row>
    <row r="138" spans="75:76" ht="28.9">
      <c r="BW138" s="69" t="s">
        <v>1062</v>
      </c>
      <c r="BX138" s="72" t="s">
        <v>1067</v>
      </c>
    </row>
    <row r="139" spans="75:76" ht="28.9">
      <c r="BW139" s="70" t="s">
        <v>1068</v>
      </c>
      <c r="BX139" s="73" t="s">
        <v>1069</v>
      </c>
    </row>
    <row r="140" spans="75:76" ht="28.9">
      <c r="BW140" s="70" t="s">
        <v>1068</v>
      </c>
      <c r="BX140" s="73" t="s">
        <v>1070</v>
      </c>
    </row>
    <row r="141" spans="75:76" ht="72">
      <c r="BW141" s="70" t="s">
        <v>1068</v>
      </c>
      <c r="BX141" s="73" t="s">
        <v>1071</v>
      </c>
    </row>
    <row r="142" spans="75:76" ht="28.9">
      <c r="BW142" s="70" t="s">
        <v>1068</v>
      </c>
      <c r="BX142" s="73" t="s">
        <v>1072</v>
      </c>
    </row>
    <row r="143" spans="75:76" ht="28.9">
      <c r="BW143" s="70" t="s">
        <v>1068</v>
      </c>
      <c r="BX143" s="73" t="s">
        <v>1073</v>
      </c>
    </row>
    <row r="144" spans="75:76" ht="28.9">
      <c r="BW144" s="70" t="s">
        <v>1068</v>
      </c>
      <c r="BX144" s="73" t="s">
        <v>1074</v>
      </c>
    </row>
    <row r="145" spans="75:76" ht="57.6">
      <c r="BW145" s="69" t="s">
        <v>1075</v>
      </c>
      <c r="BX145" s="72" t="s">
        <v>1076</v>
      </c>
    </row>
    <row r="146" spans="75:76" ht="43.15">
      <c r="BW146" s="69" t="s">
        <v>1075</v>
      </c>
      <c r="BX146" s="72" t="s">
        <v>1077</v>
      </c>
    </row>
    <row r="147" spans="75:76" ht="28.9">
      <c r="BW147" s="70" t="s">
        <v>1078</v>
      </c>
      <c r="BX147" s="73" t="s">
        <v>1079</v>
      </c>
    </row>
    <row r="148" spans="75:76" ht="43.15">
      <c r="BW148" s="70" t="s">
        <v>1078</v>
      </c>
      <c r="BX148" s="73" t="s">
        <v>1080</v>
      </c>
    </row>
    <row r="149" spans="75:76" ht="28.9">
      <c r="BW149" s="70" t="s">
        <v>1078</v>
      </c>
      <c r="BX149" s="73" t="s">
        <v>1081</v>
      </c>
    </row>
    <row r="150" spans="75:76" ht="43.15">
      <c r="BW150" s="70" t="s">
        <v>1078</v>
      </c>
      <c r="BX150" s="73" t="s">
        <v>1082</v>
      </c>
    </row>
    <row r="151" spans="75:76" ht="43.15">
      <c r="BW151" s="69" t="s">
        <v>1083</v>
      </c>
      <c r="BX151" s="72" t="s">
        <v>1084</v>
      </c>
    </row>
    <row r="152" spans="75:76" ht="28.9">
      <c r="BW152" s="69" t="s">
        <v>1083</v>
      </c>
      <c r="BX152" s="72" t="s">
        <v>1085</v>
      </c>
    </row>
    <row r="153" spans="75:76" ht="43.15">
      <c r="BW153" s="69" t="s">
        <v>1083</v>
      </c>
      <c r="BX153" s="72" t="s">
        <v>1086</v>
      </c>
    </row>
    <row r="154" spans="75:76" ht="43.15">
      <c r="BW154" s="70" t="s">
        <v>1087</v>
      </c>
      <c r="BX154" s="73" t="s">
        <v>1088</v>
      </c>
    </row>
    <row r="155" spans="75:76" ht="28.9">
      <c r="BW155" s="70" t="s">
        <v>1087</v>
      </c>
      <c r="BX155" s="73" t="s">
        <v>1089</v>
      </c>
    </row>
    <row r="156" spans="75:76" ht="28.9">
      <c r="BW156" s="70" t="s">
        <v>1087</v>
      </c>
      <c r="BX156" s="73" t="s">
        <v>1090</v>
      </c>
    </row>
    <row r="157" spans="75:76">
      <c r="BW157" s="70" t="s">
        <v>1087</v>
      </c>
      <c r="BX157" s="73" t="s">
        <v>1091</v>
      </c>
    </row>
    <row r="158" spans="75:76" ht="28.9">
      <c r="BW158" s="70" t="s">
        <v>1087</v>
      </c>
      <c r="BX158" s="73" t="s">
        <v>1092</v>
      </c>
    </row>
    <row r="159" spans="75:76" ht="28.9">
      <c r="BW159" s="70" t="s">
        <v>1087</v>
      </c>
      <c r="BX159" s="73" t="s">
        <v>1093</v>
      </c>
    </row>
    <row r="160" spans="75:76" ht="28.9">
      <c r="BW160" s="70" t="s">
        <v>1087</v>
      </c>
      <c r="BX160" s="73" t="s">
        <v>1094</v>
      </c>
    </row>
    <row r="161" spans="75:76" ht="28.9">
      <c r="BW161" s="70" t="s">
        <v>1087</v>
      </c>
      <c r="BX161" s="73" t="s">
        <v>1095</v>
      </c>
    </row>
    <row r="162" spans="75:76" ht="57.6">
      <c r="BW162" s="70" t="s">
        <v>1087</v>
      </c>
      <c r="BX162" s="73" t="s">
        <v>1096</v>
      </c>
    </row>
    <row r="163" spans="75:76" ht="43.15">
      <c r="BW163" s="70" t="s">
        <v>1087</v>
      </c>
      <c r="BX163" s="73" t="s">
        <v>1097</v>
      </c>
    </row>
    <row r="164" spans="75:76" ht="28.9">
      <c r="BW164" s="70" t="s">
        <v>1087</v>
      </c>
      <c r="BX164" s="73" t="s">
        <v>1098</v>
      </c>
    </row>
    <row r="165" spans="75:76" ht="28.9">
      <c r="BW165" s="70" t="s">
        <v>1087</v>
      </c>
      <c r="BX165" s="73" t="s">
        <v>1099</v>
      </c>
    </row>
    <row r="166" spans="75:76" ht="28.9">
      <c r="BW166" s="70" t="s">
        <v>1087</v>
      </c>
      <c r="BX166" s="73" t="s">
        <v>1100</v>
      </c>
    </row>
    <row r="167" spans="75:76" ht="43.15">
      <c r="BW167" s="70" t="s">
        <v>1087</v>
      </c>
      <c r="BX167" s="73" t="s">
        <v>300</v>
      </c>
    </row>
    <row r="168" spans="75:76" ht="28.9">
      <c r="BW168" s="69" t="s">
        <v>1101</v>
      </c>
      <c r="BX168" s="72" t="s">
        <v>1102</v>
      </c>
    </row>
    <row r="169" spans="75:76" ht="28.9">
      <c r="BW169" s="69" t="s">
        <v>1101</v>
      </c>
      <c r="BX169" s="72" t="s">
        <v>1103</v>
      </c>
    </row>
    <row r="170" spans="75:76" ht="28.9">
      <c r="BW170" s="69" t="s">
        <v>1101</v>
      </c>
      <c r="BX170" s="72" t="s">
        <v>1104</v>
      </c>
    </row>
    <row r="171" spans="75:76">
      <c r="BW171" s="69" t="s">
        <v>1101</v>
      </c>
      <c r="BX171" s="72" t="s">
        <v>1105</v>
      </c>
    </row>
    <row r="172" spans="75:76">
      <c r="BW172" s="69" t="s">
        <v>1101</v>
      </c>
      <c r="BX172" s="72" t="s">
        <v>1106</v>
      </c>
    </row>
    <row r="173" spans="75:76" ht="28.9">
      <c r="BW173" s="69" t="s">
        <v>1101</v>
      </c>
      <c r="BX173" s="72" t="s">
        <v>1107</v>
      </c>
    </row>
    <row r="174" spans="75:76" ht="28.9">
      <c r="BW174" s="69" t="s">
        <v>1101</v>
      </c>
      <c r="BX174" s="72" t="s">
        <v>1108</v>
      </c>
    </row>
    <row r="175" spans="75:76">
      <c r="BW175" s="69" t="s">
        <v>1101</v>
      </c>
      <c r="BX175" s="72" t="s">
        <v>1109</v>
      </c>
    </row>
    <row r="176" spans="75:76" ht="28.9">
      <c r="BW176" s="69" t="s">
        <v>1101</v>
      </c>
      <c r="BX176" s="72" t="s">
        <v>1110</v>
      </c>
    </row>
    <row r="177" spans="75:76" ht="28.9">
      <c r="BW177" s="70" t="s">
        <v>1111</v>
      </c>
      <c r="BX177" s="73" t="s">
        <v>1112</v>
      </c>
    </row>
    <row r="178" spans="75:76" ht="43.15">
      <c r="BW178" s="70" t="s">
        <v>1111</v>
      </c>
      <c r="BX178" s="73" t="s">
        <v>1113</v>
      </c>
    </row>
    <row r="179" spans="75:76" ht="28.9">
      <c r="BW179" s="70" t="s">
        <v>1111</v>
      </c>
      <c r="BX179" s="73" t="s">
        <v>1114</v>
      </c>
    </row>
    <row r="180" spans="75:76" ht="43.15">
      <c r="BW180" s="69" t="s">
        <v>1115</v>
      </c>
      <c r="BX180" s="72" t="s">
        <v>1116</v>
      </c>
    </row>
    <row r="181" spans="75:76" ht="28.9">
      <c r="BW181" s="69" t="s">
        <v>1115</v>
      </c>
      <c r="BX181" s="72" t="s">
        <v>1117</v>
      </c>
    </row>
    <row r="182" spans="75:76" ht="28.9">
      <c r="BW182" s="69" t="s">
        <v>1115</v>
      </c>
      <c r="BX182" s="72" t="s">
        <v>1118</v>
      </c>
    </row>
    <row r="183" spans="75:76" ht="43.15">
      <c r="BW183" s="69" t="s">
        <v>1115</v>
      </c>
      <c r="BX183" s="72" t="s">
        <v>1119</v>
      </c>
    </row>
    <row r="184" spans="75:76" ht="115.15">
      <c r="BW184" s="69" t="s">
        <v>1115</v>
      </c>
      <c r="BX184" s="72" t="s">
        <v>1120</v>
      </c>
    </row>
    <row r="185" spans="75:76">
      <c r="BW185" s="69" t="s">
        <v>1115</v>
      </c>
      <c r="BX185" s="72" t="s">
        <v>1121</v>
      </c>
    </row>
    <row r="186" spans="75:76" ht="28.9">
      <c r="BW186" s="70" t="s">
        <v>1122</v>
      </c>
      <c r="BX186" s="73" t="s">
        <v>1123</v>
      </c>
    </row>
    <row r="187" spans="75:76" ht="28.9">
      <c r="BW187" s="70" t="s">
        <v>1122</v>
      </c>
      <c r="BX187" s="73" t="s">
        <v>1124</v>
      </c>
    </row>
    <row r="188" spans="75:76" ht="28.9">
      <c r="BW188" s="70" t="s">
        <v>1122</v>
      </c>
      <c r="BX188" s="73" t="s">
        <v>1125</v>
      </c>
    </row>
    <row r="189" spans="75:76" ht="43.15">
      <c r="BW189" s="70" t="s">
        <v>1122</v>
      </c>
      <c r="BX189" s="73" t="s">
        <v>1126</v>
      </c>
    </row>
    <row r="190" spans="75:76" ht="28.9">
      <c r="BW190" s="70" t="s">
        <v>1122</v>
      </c>
      <c r="BX190" s="73" t="s">
        <v>1127</v>
      </c>
    </row>
    <row r="191" spans="75:76" ht="28.9">
      <c r="BW191" s="69" t="s">
        <v>1128</v>
      </c>
      <c r="BX191" s="72" t="s">
        <v>1129</v>
      </c>
    </row>
    <row r="192" spans="75:76" ht="28.9">
      <c r="BW192" s="69" t="s">
        <v>1128</v>
      </c>
      <c r="BX192" s="72" t="s">
        <v>1130</v>
      </c>
    </row>
    <row r="193" spans="75:76" ht="28.9">
      <c r="BW193" s="69" t="s">
        <v>1128</v>
      </c>
      <c r="BX193" s="72" t="s">
        <v>1131</v>
      </c>
    </row>
    <row r="194" spans="75:76" ht="28.9">
      <c r="BW194" s="69" t="s">
        <v>1128</v>
      </c>
      <c r="BX194" s="72" t="s">
        <v>1132</v>
      </c>
    </row>
    <row r="195" spans="75:76" ht="28.9">
      <c r="BW195" s="69" t="s">
        <v>1128</v>
      </c>
      <c r="BX195" s="72" t="s">
        <v>1133</v>
      </c>
    </row>
    <row r="196" spans="75:76" ht="43.15">
      <c r="BW196" s="70" t="s">
        <v>1134</v>
      </c>
      <c r="BX196" s="73" t="s">
        <v>1135</v>
      </c>
    </row>
    <row r="197" spans="75:76" ht="28.9">
      <c r="BW197" s="70" t="s">
        <v>1134</v>
      </c>
      <c r="BX197" s="73" t="s">
        <v>1130</v>
      </c>
    </row>
    <row r="198" spans="75:76" ht="28.9">
      <c r="BW198" s="70" t="s">
        <v>1134</v>
      </c>
      <c r="BX198" s="73" t="s">
        <v>1136</v>
      </c>
    </row>
    <row r="199" spans="75:76" ht="28.9">
      <c r="BW199" s="70" t="s">
        <v>1134</v>
      </c>
      <c r="BX199" s="73" t="s">
        <v>1132</v>
      </c>
    </row>
    <row r="200" spans="75:76" ht="28.9">
      <c r="BW200" s="70" t="s">
        <v>1134</v>
      </c>
      <c r="BX200" s="73" t="s">
        <v>1137</v>
      </c>
    </row>
    <row r="201" spans="75:76" ht="43.15">
      <c r="BW201" s="69" t="s">
        <v>1138</v>
      </c>
      <c r="BX201" s="72" t="s">
        <v>1139</v>
      </c>
    </row>
    <row r="202" spans="75:76" ht="28.9">
      <c r="BW202" s="69" t="s">
        <v>1138</v>
      </c>
      <c r="BX202" s="72" t="s">
        <v>1140</v>
      </c>
    </row>
    <row r="203" spans="75:76" ht="43.15">
      <c r="BW203" s="69" t="s">
        <v>1138</v>
      </c>
      <c r="BX203" s="72" t="s">
        <v>1141</v>
      </c>
    </row>
    <row r="204" spans="75:76" ht="43.15">
      <c r="BW204" s="69" t="s">
        <v>1138</v>
      </c>
      <c r="BX204" s="72" t="s">
        <v>1142</v>
      </c>
    </row>
    <row r="205" spans="75:76" ht="28.9">
      <c r="BW205" s="69" t="s">
        <v>1138</v>
      </c>
      <c r="BX205" s="72" t="s">
        <v>1143</v>
      </c>
    </row>
    <row r="206" spans="75:76" ht="57.6">
      <c r="BW206" s="70" t="s">
        <v>1144</v>
      </c>
      <c r="BX206" s="73" t="s">
        <v>1145</v>
      </c>
    </row>
    <row r="207" spans="75:76" ht="57.6">
      <c r="BW207" s="70" t="s">
        <v>1144</v>
      </c>
      <c r="BX207" s="73" t="s">
        <v>1146</v>
      </c>
    </row>
    <row r="208" spans="75:76" ht="43.15">
      <c r="BW208" s="70" t="s">
        <v>1144</v>
      </c>
      <c r="BX208" s="73" t="s">
        <v>1147</v>
      </c>
    </row>
    <row r="209" spans="75:76" ht="43.15">
      <c r="BW209" s="69" t="s">
        <v>1148</v>
      </c>
      <c r="BX209" s="72" t="s">
        <v>1149</v>
      </c>
    </row>
    <row r="210" spans="75:76" ht="43.15">
      <c r="BW210" s="69" t="s">
        <v>1148</v>
      </c>
      <c r="BX210" s="72" t="s">
        <v>1150</v>
      </c>
    </row>
    <row r="211" spans="75:76" ht="57.6">
      <c r="BW211" s="69" t="s">
        <v>1148</v>
      </c>
      <c r="BX211" s="72" t="s">
        <v>1151</v>
      </c>
    </row>
    <row r="212" spans="75:76" ht="43.15">
      <c r="BW212" s="70" t="s">
        <v>1152</v>
      </c>
      <c r="BX212" s="73" t="s">
        <v>1153</v>
      </c>
    </row>
    <row r="213" spans="75:76" ht="86.45">
      <c r="BW213" s="70" t="s">
        <v>1152</v>
      </c>
      <c r="BX213" s="73" t="s">
        <v>1154</v>
      </c>
    </row>
    <row r="214" spans="75:76" ht="57.6">
      <c r="BW214" s="70" t="s">
        <v>1152</v>
      </c>
      <c r="BX214" s="73" t="s">
        <v>1155</v>
      </c>
    </row>
    <row r="215" spans="75:76" ht="43.15">
      <c r="BW215" s="70" t="s">
        <v>1152</v>
      </c>
      <c r="BX215" s="73" t="s">
        <v>1156</v>
      </c>
    </row>
    <row r="216" spans="75:76" ht="43.15">
      <c r="BW216" s="69" t="s">
        <v>1157</v>
      </c>
      <c r="BX216" s="72" t="s">
        <v>1158</v>
      </c>
    </row>
    <row r="217" spans="75:76" ht="57.6">
      <c r="BW217" s="69" t="s">
        <v>1157</v>
      </c>
      <c r="BX217" s="72" t="s">
        <v>1159</v>
      </c>
    </row>
    <row r="218" spans="75:76" ht="43.15">
      <c r="BW218" s="69" t="s">
        <v>1157</v>
      </c>
      <c r="BX218" s="72" t="s">
        <v>1160</v>
      </c>
    </row>
    <row r="219" spans="75:76" ht="43.15">
      <c r="BW219" s="70" t="s">
        <v>1161</v>
      </c>
      <c r="BX219" s="73" t="s">
        <v>1162</v>
      </c>
    </row>
    <row r="220" spans="75:76" ht="43.15">
      <c r="BW220" s="70" t="s">
        <v>1161</v>
      </c>
      <c r="BX220" s="73" t="s">
        <v>1163</v>
      </c>
    </row>
    <row r="221" spans="75:76" ht="28.9">
      <c r="BW221" s="70" t="s">
        <v>1161</v>
      </c>
      <c r="BX221" s="73" t="s">
        <v>1164</v>
      </c>
    </row>
    <row r="222" spans="75:76" ht="28.9">
      <c r="BW222" s="70" t="s">
        <v>1161</v>
      </c>
      <c r="BX222" s="73" t="s">
        <v>1165</v>
      </c>
    </row>
    <row r="223" spans="75:76" ht="43.15">
      <c r="BW223" s="70" t="s">
        <v>1161</v>
      </c>
      <c r="BX223" s="73" t="s">
        <v>1166</v>
      </c>
    </row>
    <row r="224" spans="75:76" ht="28.9">
      <c r="BW224" s="69" t="s">
        <v>1167</v>
      </c>
      <c r="BX224" s="72" t="s">
        <v>1168</v>
      </c>
    </row>
    <row r="225" spans="75:76" ht="100.9">
      <c r="BW225" s="69" t="s">
        <v>1167</v>
      </c>
      <c r="BX225" s="72" t="s">
        <v>1169</v>
      </c>
    </row>
    <row r="226" spans="75:76" ht="43.15">
      <c r="BW226" s="69" t="s">
        <v>1167</v>
      </c>
      <c r="BX226" s="72" t="s">
        <v>1170</v>
      </c>
    </row>
    <row r="227" spans="75:76" ht="28.9">
      <c r="BW227" s="69" t="s">
        <v>1167</v>
      </c>
      <c r="BX227" s="72" t="s">
        <v>1171</v>
      </c>
    </row>
    <row r="228" spans="75:76" ht="28.9">
      <c r="BW228" s="69" t="s">
        <v>1167</v>
      </c>
      <c r="BX228" s="72" t="s">
        <v>1172</v>
      </c>
    </row>
    <row r="229" spans="75:76" ht="28.9">
      <c r="BW229" s="69" t="s">
        <v>1167</v>
      </c>
      <c r="BX229" s="72" t="s">
        <v>1173</v>
      </c>
    </row>
    <row r="230" spans="75:76" ht="28.9">
      <c r="BW230" s="69" t="s">
        <v>1167</v>
      </c>
      <c r="BX230" s="72" t="s">
        <v>1174</v>
      </c>
    </row>
    <row r="231" spans="75:76" ht="57.6">
      <c r="BW231" s="70" t="s">
        <v>1175</v>
      </c>
      <c r="BX231" s="73" t="s">
        <v>1176</v>
      </c>
    </row>
    <row r="232" spans="75:76" ht="28.9">
      <c r="BW232" s="70" t="s">
        <v>1175</v>
      </c>
      <c r="BX232" s="73" t="s">
        <v>1177</v>
      </c>
    </row>
    <row r="233" spans="75:76" ht="28.9">
      <c r="BW233" s="70" t="s">
        <v>1175</v>
      </c>
      <c r="BX233" s="73" t="s">
        <v>1178</v>
      </c>
    </row>
    <row r="234" spans="75:76" ht="28.9">
      <c r="BW234" s="70" t="s">
        <v>1175</v>
      </c>
      <c r="BX234" s="73" t="s">
        <v>1179</v>
      </c>
    </row>
    <row r="235" spans="75:76" ht="28.9">
      <c r="BW235" s="70" t="s">
        <v>1175</v>
      </c>
      <c r="BX235" s="73" t="s">
        <v>1180</v>
      </c>
    </row>
    <row r="236" spans="75:76" ht="28.9">
      <c r="BW236" s="70" t="s">
        <v>1175</v>
      </c>
      <c r="BX236" s="73" t="s">
        <v>1181</v>
      </c>
    </row>
    <row r="237" spans="75:76" ht="28.9">
      <c r="BW237" s="72" t="s">
        <v>1182</v>
      </c>
      <c r="BX237" s="72" t="s">
        <v>1183</v>
      </c>
    </row>
    <row r="238" spans="75:76" ht="43.15">
      <c r="BW238" s="72" t="s">
        <v>1182</v>
      </c>
      <c r="BX238" s="72" t="s">
        <v>1184</v>
      </c>
    </row>
    <row r="239" spans="75:76" ht="28.9">
      <c r="BW239" s="72" t="s">
        <v>1182</v>
      </c>
      <c r="BX239" s="72" t="s">
        <v>1185</v>
      </c>
    </row>
    <row r="240" spans="75:76" ht="43.15">
      <c r="BW240" s="72" t="s">
        <v>1182</v>
      </c>
      <c r="BX240" s="72" t="s">
        <v>1186</v>
      </c>
    </row>
    <row r="241" spans="75:76" ht="28.9">
      <c r="BW241" s="72" t="s">
        <v>1182</v>
      </c>
      <c r="BX241" s="72" t="s">
        <v>1187</v>
      </c>
    </row>
    <row r="242" spans="75:76" ht="28.9">
      <c r="BW242" s="72" t="s">
        <v>1182</v>
      </c>
      <c r="BX242" s="72" t="s">
        <v>1188</v>
      </c>
    </row>
    <row r="243" spans="75:76" ht="43.15">
      <c r="BW243" s="72" t="s">
        <v>1182</v>
      </c>
      <c r="BX243" s="72" t="s">
        <v>1189</v>
      </c>
    </row>
    <row r="244" spans="75:76" ht="28.9">
      <c r="BW244" s="72" t="s">
        <v>1182</v>
      </c>
      <c r="BX244" s="72" t="s">
        <v>1190</v>
      </c>
    </row>
    <row r="245" spans="75:76" ht="43.15">
      <c r="BW245" s="73" t="s">
        <v>1191</v>
      </c>
      <c r="BX245" s="73" t="s">
        <v>1192</v>
      </c>
    </row>
    <row r="246" spans="75:76" ht="28.9">
      <c r="BW246" s="73" t="s">
        <v>1191</v>
      </c>
      <c r="BX246" s="73" t="s">
        <v>1193</v>
      </c>
    </row>
    <row r="247" spans="75:76" ht="43.15">
      <c r="BW247" s="73" t="s">
        <v>1191</v>
      </c>
      <c r="BX247" s="73" t="s">
        <v>1194</v>
      </c>
    </row>
    <row r="248" spans="75:76" ht="28.9">
      <c r="BW248" s="73" t="s">
        <v>1191</v>
      </c>
      <c r="BX248" s="73" t="s">
        <v>1195</v>
      </c>
    </row>
    <row r="249" spans="75:76" ht="43.15">
      <c r="BW249" s="73" t="s">
        <v>1191</v>
      </c>
      <c r="BX249" s="73" t="s">
        <v>1196</v>
      </c>
    </row>
    <row r="250" spans="75:76" ht="28.9">
      <c r="BW250" s="72" t="s">
        <v>1197</v>
      </c>
      <c r="BX250" s="72" t="s">
        <v>1198</v>
      </c>
    </row>
    <row r="251" spans="75:76" ht="57.6">
      <c r="BW251" s="72" t="s">
        <v>1197</v>
      </c>
      <c r="BX251" s="72" t="s">
        <v>1199</v>
      </c>
    </row>
    <row r="252" spans="75:76" ht="28.9">
      <c r="BW252" s="72" t="s">
        <v>1197</v>
      </c>
      <c r="BX252" s="72" t="s">
        <v>1200</v>
      </c>
    </row>
    <row r="253" spans="75:76" ht="28.9">
      <c r="BW253" s="72" t="s">
        <v>1197</v>
      </c>
      <c r="BX253" s="72" t="s">
        <v>1201</v>
      </c>
    </row>
    <row r="254" spans="75:76" ht="28.9">
      <c r="BW254" s="72" t="s">
        <v>1197</v>
      </c>
      <c r="BX254" s="72" t="s">
        <v>1202</v>
      </c>
    </row>
    <row r="255" spans="75:76" ht="43.15">
      <c r="BW255" s="72" t="s">
        <v>1197</v>
      </c>
      <c r="BX255" s="72" t="s">
        <v>1203</v>
      </c>
    </row>
    <row r="256" spans="75:76" ht="28.9">
      <c r="BW256" s="73" t="s">
        <v>1204</v>
      </c>
      <c r="BX256" s="73" t="s">
        <v>1205</v>
      </c>
    </row>
    <row r="257" spans="75:76" ht="43.15">
      <c r="BW257" s="73" t="s">
        <v>1204</v>
      </c>
      <c r="BX257" s="73" t="s">
        <v>1206</v>
      </c>
    </row>
    <row r="258" spans="75:76" ht="43.15">
      <c r="BW258" s="73" t="s">
        <v>1204</v>
      </c>
      <c r="BX258" s="73" t="s">
        <v>1207</v>
      </c>
    </row>
    <row r="259" spans="75:76" ht="43.15">
      <c r="BW259" s="73" t="s">
        <v>1204</v>
      </c>
      <c r="BX259" s="73" t="s">
        <v>1208</v>
      </c>
    </row>
    <row r="260" spans="75:76" ht="28.9">
      <c r="BW260" s="72" t="s">
        <v>1209</v>
      </c>
      <c r="BX260" s="72" t="s">
        <v>1210</v>
      </c>
    </row>
    <row r="261" spans="75:76" ht="28.9">
      <c r="BW261" s="72" t="s">
        <v>1209</v>
      </c>
      <c r="BX261" s="72" t="s">
        <v>1211</v>
      </c>
    </row>
    <row r="262" spans="75:76" ht="28.9">
      <c r="BW262" s="72" t="s">
        <v>1209</v>
      </c>
      <c r="BX262" s="72" t="s">
        <v>1212</v>
      </c>
    </row>
    <row r="263" spans="75:76" ht="28.9">
      <c r="BW263" s="72" t="s">
        <v>1209</v>
      </c>
      <c r="BX263" s="72" t="s">
        <v>1213</v>
      </c>
    </row>
    <row r="264" spans="75:76" ht="28.9">
      <c r="BW264" s="72" t="s">
        <v>1209</v>
      </c>
      <c r="BX264" s="72" t="s">
        <v>1214</v>
      </c>
    </row>
    <row r="265" spans="75:76" ht="28.9">
      <c r="BW265" s="72" t="s">
        <v>1209</v>
      </c>
      <c r="BX265" s="72" t="s">
        <v>1215</v>
      </c>
    </row>
    <row r="266" spans="75:76" ht="28.9">
      <c r="BW266" s="72" t="s">
        <v>1209</v>
      </c>
      <c r="BX266" s="72" t="s">
        <v>1216</v>
      </c>
    </row>
    <row r="267" spans="75:76" ht="43.15">
      <c r="BW267" s="73" t="s">
        <v>1217</v>
      </c>
      <c r="BX267" s="73" t="s">
        <v>1218</v>
      </c>
    </row>
    <row r="268" spans="75:76" ht="28.9">
      <c r="BW268" s="73" t="s">
        <v>1217</v>
      </c>
      <c r="BX268" s="73" t="s">
        <v>1219</v>
      </c>
    </row>
    <row r="269" spans="75:76" ht="43.15">
      <c r="BW269" s="73" t="s">
        <v>1217</v>
      </c>
      <c r="BX269" s="73" t="s">
        <v>1220</v>
      </c>
    </row>
    <row r="270" spans="75:76" ht="28.9">
      <c r="BW270" s="73" t="s">
        <v>1217</v>
      </c>
      <c r="BX270" s="73" t="s">
        <v>1221</v>
      </c>
    </row>
    <row r="271" spans="75:76" ht="28.9">
      <c r="BW271" s="73" t="s">
        <v>1217</v>
      </c>
      <c r="BX271" s="73" t="s">
        <v>1222</v>
      </c>
    </row>
    <row r="272" spans="75:76" ht="28.9">
      <c r="BW272" s="72" t="s">
        <v>1223</v>
      </c>
      <c r="BX272" s="72" t="s">
        <v>1224</v>
      </c>
    </row>
    <row r="273" spans="75:76" ht="43.15">
      <c r="BW273" s="72" t="s">
        <v>1223</v>
      </c>
      <c r="BX273" s="72" t="s">
        <v>1225</v>
      </c>
    </row>
    <row r="274" spans="75:76" ht="43.15">
      <c r="BW274" s="72" t="s">
        <v>1223</v>
      </c>
      <c r="BX274" s="72" t="s">
        <v>1226</v>
      </c>
    </row>
    <row r="275" spans="75:76" ht="43.15">
      <c r="BW275" s="72" t="s">
        <v>1223</v>
      </c>
      <c r="BX275" s="72" t="s">
        <v>1227</v>
      </c>
    </row>
    <row r="276" spans="75:76" ht="28.9">
      <c r="BW276" s="73" t="s">
        <v>1228</v>
      </c>
      <c r="BX276" s="73" t="s">
        <v>1229</v>
      </c>
    </row>
    <row r="277" spans="75:76" ht="43.15">
      <c r="BW277" s="73" t="s">
        <v>1228</v>
      </c>
      <c r="BX277" s="73" t="s">
        <v>1230</v>
      </c>
    </row>
    <row r="278" spans="75:76" ht="43.15">
      <c r="BW278" s="73" t="s">
        <v>1228</v>
      </c>
      <c r="BX278" s="73" t="s">
        <v>1231</v>
      </c>
    </row>
    <row r="279" spans="75:76" ht="28.9">
      <c r="BW279" s="73" t="s">
        <v>1228</v>
      </c>
      <c r="BX279" s="73" t="s">
        <v>1232</v>
      </c>
    </row>
    <row r="280" spans="75:76" ht="28.9">
      <c r="BW280" s="73" t="s">
        <v>1228</v>
      </c>
      <c r="BX280" s="73" t="s">
        <v>1233</v>
      </c>
    </row>
    <row r="281" spans="75:76" ht="43.15">
      <c r="BW281" s="73" t="s">
        <v>1228</v>
      </c>
      <c r="BX281" s="73" t="s">
        <v>1234</v>
      </c>
    </row>
    <row r="282" spans="75:76" ht="28.9">
      <c r="BW282" s="72" t="s">
        <v>1235</v>
      </c>
      <c r="BX282" s="72" t="s">
        <v>1236</v>
      </c>
    </row>
    <row r="283" spans="75:76" ht="28.9">
      <c r="BW283" s="72" t="s">
        <v>1235</v>
      </c>
      <c r="BX283" s="72" t="s">
        <v>1237</v>
      </c>
    </row>
    <row r="284" spans="75:76" ht="28.9">
      <c r="BW284" s="72" t="s">
        <v>1235</v>
      </c>
      <c r="BX284" s="72" t="s">
        <v>1238</v>
      </c>
    </row>
    <row r="285" spans="75:76" ht="28.9">
      <c r="BW285" s="72" t="s">
        <v>1235</v>
      </c>
      <c r="BX285" s="72" t="s">
        <v>1239</v>
      </c>
    </row>
  </sheetData>
  <sheetProtection sheet="1" objects="1" scenarios="1"/>
  <mergeCells count="1">
    <mergeCell ref="A8:E9"/>
  </mergeCells>
  <conditionalFormatting sqref="CA1:CA83">
    <cfRule type="expression" dxfId="47" priority="6">
      <formula>$N1="Inactiva"</formula>
    </cfRule>
  </conditionalFormatting>
  <conditionalFormatting sqref="CC2:CD83 CC1">
    <cfRule type="expression" dxfId="46" priority="5">
      <formula>$N1="Inactiva"</formula>
    </cfRule>
  </conditionalFormatting>
  <conditionalFormatting sqref="CG1:CG60">
    <cfRule type="expression" dxfId="45" priority="4">
      <formula>$N1="Inactiva"</formula>
    </cfRule>
  </conditionalFormatting>
  <conditionalFormatting sqref="CF1">
    <cfRule type="expression" dxfId="44" priority="3">
      <formula>$N1="Inactiva"</formula>
    </cfRule>
  </conditionalFormatting>
  <conditionalFormatting sqref="CB1:CB83">
    <cfRule type="expression" dxfId="43" priority="2">
      <formula>$N1="Inactiva"</formula>
    </cfRule>
  </conditionalFormatting>
  <conditionalFormatting sqref="BZ1:BZ83">
    <cfRule type="expression" dxfId="42" priority="1">
      <formula>$N1="Inactiva"</formula>
    </cfRule>
  </conditionalFormatting>
  <dataValidations count="2">
    <dataValidation type="list" allowBlank="1" showInputMessage="1" showErrorMessage="1" sqref="B2 E2:E6" xr:uid="{2E9F4836-13DE-4494-B192-61F16C8A47B5}">
      <formula1>"Sí,No"</formula1>
    </dataValidation>
    <dataValidation type="list" allowBlank="1" showInputMessage="1" showErrorMessage="1" sqref="CD1:CD1048576" xr:uid="{C3E3194C-9468-462B-ACB6-307EA4ACB52A}">
      <formula1>INDIRECT($BZ1&amp;"_")</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BB459-3EB0-4788-AE82-2830BB5537EE}">
  <sheetPr codeName="Sheet4"/>
  <dimension ref="A1:O223"/>
  <sheetViews>
    <sheetView zoomScaleNormal="100" workbookViewId="0">
      <pane xSplit="7" ySplit="1" topLeftCell="H2" activePane="bottomRight" state="frozen"/>
      <selection pane="bottomRight" activeCell="C2" sqref="C2"/>
      <selection pane="bottomLeft" activeCell="C2" sqref="C2"/>
      <selection pane="topRight" activeCell="H1" sqref="H1"/>
    </sheetView>
  </sheetViews>
  <sheetFormatPr defaultRowHeight="14.45"/>
  <cols>
    <col min="1" max="1" width="0.42578125" style="1" customWidth="1"/>
    <col min="2" max="2" width="0.140625" style="1" hidden="1" customWidth="1"/>
    <col min="3" max="3" width="14.7109375" style="74" bestFit="1" customWidth="1"/>
    <col min="4" max="4" width="49.7109375" style="79" customWidth="1"/>
    <col min="5" max="5" width="18.5703125" style="75" bestFit="1" customWidth="1"/>
    <col min="6" max="6" width="14.140625" style="77" customWidth="1"/>
    <col min="7" max="7" width="15.7109375" style="75" bestFit="1" customWidth="1"/>
    <col min="8" max="8" width="21.28515625" style="75" bestFit="1" customWidth="1"/>
    <col min="9" max="9" width="29.7109375" style="88" customWidth="1"/>
    <col min="10" max="10" width="22.7109375" style="88" bestFit="1" customWidth="1"/>
    <col min="11" max="11" width="76.7109375" style="79" customWidth="1"/>
    <col min="12" max="12" width="80.140625" style="79" customWidth="1"/>
    <col min="13" max="13" width="27" style="75" customWidth="1"/>
    <col min="14" max="14" width="24.42578125" style="6" hidden="1" customWidth="1"/>
    <col min="15" max="15" width="20.7109375" style="86" customWidth="1"/>
  </cols>
  <sheetData>
    <row r="1" spans="1:15" ht="28.9">
      <c r="A1" s="2" t="s">
        <v>1240</v>
      </c>
      <c r="B1" s="2" t="s">
        <v>1241</v>
      </c>
      <c r="C1" s="81" t="s">
        <v>93</v>
      </c>
      <c r="D1" s="80" t="s">
        <v>443</v>
      </c>
      <c r="E1" s="78" t="s">
        <v>444</v>
      </c>
      <c r="F1" s="82" t="s">
        <v>445</v>
      </c>
      <c r="G1" s="78" t="s">
        <v>446</v>
      </c>
      <c r="H1" s="78" t="s">
        <v>1242</v>
      </c>
      <c r="I1" s="84" t="s">
        <v>1243</v>
      </c>
      <c r="J1" s="84" t="s">
        <v>1244</v>
      </c>
      <c r="K1" s="80" t="s">
        <v>1245</v>
      </c>
      <c r="L1" s="80" t="s">
        <v>1246</v>
      </c>
      <c r="M1" s="78" t="s">
        <v>1247</v>
      </c>
      <c r="N1" s="8" t="s">
        <v>1248</v>
      </c>
      <c r="O1" s="82" t="s">
        <v>1249</v>
      </c>
    </row>
    <row r="2" spans="1:15">
      <c r="E2" s="83"/>
      <c r="H2" s="83"/>
      <c r="I2" s="87"/>
    </row>
    <row r="3" spans="1:15">
      <c r="E3" s="83"/>
      <c r="H3" s="83"/>
      <c r="I3" s="87"/>
    </row>
    <row r="4" spans="1:15">
      <c r="E4" s="83"/>
      <c r="H4" s="83"/>
      <c r="I4" s="87"/>
    </row>
    <row r="5" spans="1:15">
      <c r="E5" s="83"/>
      <c r="H5" s="83"/>
      <c r="I5" s="87"/>
    </row>
    <row r="6" spans="1:15">
      <c r="E6" s="83"/>
      <c r="H6" s="83"/>
      <c r="I6" s="87"/>
    </row>
    <row r="7" spans="1:15">
      <c r="E7" s="83"/>
      <c r="H7" s="83"/>
      <c r="I7" s="87"/>
    </row>
    <row r="8" spans="1:15">
      <c r="E8" s="83"/>
      <c r="H8" s="83"/>
      <c r="I8" s="87"/>
    </row>
    <row r="9" spans="1:15">
      <c r="E9" s="83"/>
      <c r="H9" s="83"/>
      <c r="I9" s="87"/>
    </row>
    <row r="10" spans="1:15">
      <c r="E10" s="83"/>
      <c r="H10" s="83"/>
      <c r="I10" s="87"/>
    </row>
    <row r="11" spans="1:15">
      <c r="E11" s="83"/>
      <c r="H11" s="83"/>
      <c r="I11" s="87"/>
    </row>
    <row r="12" spans="1:15">
      <c r="E12" s="83"/>
      <c r="H12" s="83"/>
      <c r="I12" s="87"/>
    </row>
    <row r="13" spans="1:15">
      <c r="E13" s="83"/>
      <c r="H13" s="83"/>
      <c r="I13" s="87"/>
    </row>
    <row r="14" spans="1:15">
      <c r="E14" s="83"/>
      <c r="H14" s="83"/>
      <c r="I14" s="87"/>
    </row>
    <row r="15" spans="1:15">
      <c r="E15" s="83"/>
      <c r="H15" s="83"/>
      <c r="I15" s="87"/>
    </row>
    <row r="16" spans="1:15">
      <c r="E16" s="83"/>
      <c r="H16" s="83"/>
      <c r="I16" s="87"/>
    </row>
    <row r="17" spans="5:9">
      <c r="E17" s="83"/>
      <c r="H17" s="83"/>
      <c r="I17" s="87"/>
    </row>
    <row r="18" spans="5:9">
      <c r="E18" s="83"/>
      <c r="H18" s="83"/>
      <c r="I18" s="87"/>
    </row>
    <row r="19" spans="5:9">
      <c r="E19" s="83"/>
      <c r="H19" s="83"/>
      <c r="I19" s="87"/>
    </row>
    <row r="20" spans="5:9">
      <c r="E20" s="83"/>
      <c r="H20" s="83"/>
      <c r="I20" s="87"/>
    </row>
    <row r="21" spans="5:9">
      <c r="E21" s="83"/>
      <c r="I21" s="87"/>
    </row>
    <row r="22" spans="5:9">
      <c r="E22" s="83"/>
      <c r="H22" s="83"/>
      <c r="I22" s="87"/>
    </row>
    <row r="23" spans="5:9">
      <c r="E23" s="83"/>
      <c r="H23" s="83"/>
      <c r="I23" s="87"/>
    </row>
    <row r="24" spans="5:9">
      <c r="E24" s="83"/>
      <c r="I24" s="87"/>
    </row>
    <row r="25" spans="5:9">
      <c r="E25" s="83"/>
      <c r="H25" s="83"/>
      <c r="I25" s="87"/>
    </row>
    <row r="26" spans="5:9">
      <c r="E26" s="83"/>
      <c r="H26" s="83"/>
      <c r="I26" s="87"/>
    </row>
    <row r="27" spans="5:9">
      <c r="E27" s="83"/>
      <c r="H27" s="83"/>
      <c r="I27" s="87"/>
    </row>
    <row r="28" spans="5:9">
      <c r="E28" s="83"/>
      <c r="H28" s="83"/>
      <c r="I28" s="87"/>
    </row>
    <row r="29" spans="5:9">
      <c r="E29" s="83"/>
      <c r="H29" s="83"/>
      <c r="I29" s="87"/>
    </row>
    <row r="30" spans="5:9">
      <c r="E30" s="83"/>
      <c r="I30" s="87"/>
    </row>
    <row r="31" spans="5:9">
      <c r="E31" s="83"/>
      <c r="I31" s="87"/>
    </row>
    <row r="32" spans="5:9">
      <c r="E32" s="83"/>
      <c r="H32" s="83"/>
      <c r="I32" s="87"/>
    </row>
    <row r="33" spans="5:9">
      <c r="E33" s="83"/>
      <c r="H33" s="83"/>
      <c r="I33" s="87"/>
    </row>
    <row r="34" spans="5:9">
      <c r="E34" s="83"/>
      <c r="H34" s="83"/>
    </row>
    <row r="35" spans="5:9">
      <c r="E35" s="83"/>
      <c r="H35" s="83"/>
    </row>
    <row r="36" spans="5:9">
      <c r="E36" s="83"/>
      <c r="H36" s="83"/>
      <c r="I36" s="87"/>
    </row>
    <row r="37" spans="5:9">
      <c r="E37" s="83"/>
      <c r="H37" s="83"/>
      <c r="I37" s="87"/>
    </row>
    <row r="38" spans="5:9">
      <c r="E38" s="83"/>
      <c r="I38" s="87"/>
    </row>
    <row r="39" spans="5:9">
      <c r="E39" s="83"/>
      <c r="I39" s="87"/>
    </row>
    <row r="40" spans="5:9">
      <c r="E40" s="83"/>
      <c r="H40" s="83"/>
      <c r="I40" s="87"/>
    </row>
    <row r="41" spans="5:9">
      <c r="E41" s="83"/>
      <c r="H41" s="83"/>
      <c r="I41" s="87"/>
    </row>
    <row r="42" spans="5:9">
      <c r="E42" s="83"/>
      <c r="I42" s="87"/>
    </row>
    <row r="43" spans="5:9">
      <c r="E43" s="83"/>
      <c r="H43" s="83"/>
      <c r="I43" s="87"/>
    </row>
    <row r="44" spans="5:9">
      <c r="E44" s="83"/>
      <c r="H44" s="83"/>
      <c r="I44" s="87"/>
    </row>
    <row r="45" spans="5:9">
      <c r="E45" s="83"/>
      <c r="H45" s="89"/>
      <c r="I45" s="87"/>
    </row>
    <row r="46" spans="5:9">
      <c r="E46" s="83"/>
      <c r="H46" s="83"/>
      <c r="I46" s="87"/>
    </row>
    <row r="47" spans="5:9">
      <c r="E47" s="83"/>
      <c r="H47" s="83"/>
      <c r="I47" s="87"/>
    </row>
    <row r="48" spans="5:9">
      <c r="E48" s="83"/>
      <c r="H48" s="83"/>
      <c r="I48" s="87"/>
    </row>
    <row r="49" spans="5:9">
      <c r="E49" s="83"/>
      <c r="H49" s="83"/>
      <c r="I49" s="87"/>
    </row>
    <row r="50" spans="5:9">
      <c r="E50" s="83"/>
      <c r="I50" s="87"/>
    </row>
    <row r="51" spans="5:9">
      <c r="E51" s="83"/>
      <c r="H51" s="83"/>
      <c r="I51" s="87"/>
    </row>
    <row r="52" spans="5:9">
      <c r="E52" s="83"/>
      <c r="H52" s="83"/>
      <c r="I52" s="87"/>
    </row>
    <row r="53" spans="5:9">
      <c r="E53" s="83"/>
      <c r="I53" s="87"/>
    </row>
    <row r="54" spans="5:9">
      <c r="E54" s="83"/>
      <c r="H54" s="83"/>
      <c r="I54" s="87"/>
    </row>
    <row r="55" spans="5:9">
      <c r="E55" s="83"/>
      <c r="H55" s="83"/>
      <c r="I55" s="87"/>
    </row>
    <row r="56" spans="5:9">
      <c r="E56" s="83"/>
      <c r="H56" s="83"/>
      <c r="I56" s="87"/>
    </row>
    <row r="57" spans="5:9">
      <c r="E57" s="83"/>
      <c r="H57" s="83"/>
      <c r="I57" s="87"/>
    </row>
    <row r="58" spans="5:9">
      <c r="E58" s="83"/>
      <c r="H58" s="83"/>
      <c r="I58" s="87"/>
    </row>
    <row r="59" spans="5:9">
      <c r="E59" s="83"/>
      <c r="H59" s="83"/>
      <c r="I59" s="87"/>
    </row>
    <row r="60" spans="5:9">
      <c r="E60" s="83"/>
      <c r="I60" s="87"/>
    </row>
    <row r="61" spans="5:9">
      <c r="E61" s="83"/>
      <c r="H61" s="83"/>
      <c r="I61" s="87"/>
    </row>
    <row r="62" spans="5:9">
      <c r="E62" s="83"/>
      <c r="I62" s="87"/>
    </row>
    <row r="63" spans="5:9">
      <c r="E63" s="83"/>
      <c r="I63" s="87"/>
    </row>
    <row r="64" spans="5:9">
      <c r="E64" s="83"/>
      <c r="I64" s="87"/>
    </row>
    <row r="65" spans="5:9">
      <c r="E65" s="83"/>
      <c r="I65" s="87"/>
    </row>
    <row r="66" spans="5:9">
      <c r="E66" s="83"/>
      <c r="I66" s="87"/>
    </row>
    <row r="67" spans="5:9">
      <c r="E67" s="83"/>
      <c r="H67" s="83"/>
      <c r="I67" s="87"/>
    </row>
    <row r="68" spans="5:9">
      <c r="E68" s="83"/>
      <c r="I68" s="87"/>
    </row>
    <row r="69" spans="5:9">
      <c r="E69" s="83"/>
      <c r="I69" s="87"/>
    </row>
    <row r="70" spans="5:9">
      <c r="E70" s="83"/>
      <c r="I70" s="87"/>
    </row>
    <row r="71" spans="5:9">
      <c r="E71" s="83"/>
      <c r="H71" s="83"/>
      <c r="I71" s="87"/>
    </row>
    <row r="72" spans="5:9">
      <c r="E72" s="83"/>
      <c r="H72" s="83"/>
      <c r="I72" s="87"/>
    </row>
    <row r="73" spans="5:9">
      <c r="E73" s="83"/>
      <c r="H73" s="83"/>
      <c r="I73" s="87"/>
    </row>
    <row r="74" spans="5:9">
      <c r="E74" s="83"/>
      <c r="H74" s="83"/>
      <c r="I74" s="87"/>
    </row>
    <row r="75" spans="5:9">
      <c r="E75" s="83"/>
      <c r="H75" s="83"/>
      <c r="I75" s="87"/>
    </row>
    <row r="76" spans="5:9">
      <c r="E76" s="83"/>
      <c r="H76" s="83"/>
      <c r="I76" s="87"/>
    </row>
    <row r="77" spans="5:9">
      <c r="E77" s="83"/>
      <c r="H77" s="83"/>
      <c r="I77" s="87"/>
    </row>
    <row r="78" spans="5:9">
      <c r="E78" s="83"/>
      <c r="I78" s="87"/>
    </row>
    <row r="79" spans="5:9">
      <c r="E79" s="83"/>
      <c r="I79" s="87"/>
    </row>
    <row r="80" spans="5:9">
      <c r="E80" s="83"/>
      <c r="H80" s="83"/>
      <c r="I80" s="87"/>
    </row>
    <row r="81" spans="5:9">
      <c r="E81" s="83"/>
      <c r="I81" s="87"/>
    </row>
    <row r="82" spans="5:9">
      <c r="E82" s="83"/>
      <c r="I82" s="87"/>
    </row>
    <row r="83" spans="5:9">
      <c r="E83" s="83"/>
      <c r="I83" s="87"/>
    </row>
    <row r="84" spans="5:9">
      <c r="E84" s="83"/>
      <c r="H84" s="83"/>
      <c r="I84" s="87"/>
    </row>
    <row r="85" spans="5:9">
      <c r="E85" s="83"/>
      <c r="H85" s="83"/>
      <c r="I85" s="87"/>
    </row>
    <row r="86" spans="5:9">
      <c r="E86" s="83"/>
      <c r="H86" s="83"/>
      <c r="I86" s="87"/>
    </row>
    <row r="87" spans="5:9">
      <c r="E87" s="83"/>
      <c r="I87" s="87"/>
    </row>
    <row r="88" spans="5:9">
      <c r="E88" s="83"/>
      <c r="I88" s="87"/>
    </row>
    <row r="89" spans="5:9">
      <c r="E89" s="83"/>
      <c r="H89" s="83"/>
      <c r="I89" s="87"/>
    </row>
    <row r="90" spans="5:9">
      <c r="E90" s="83"/>
      <c r="H90" s="83"/>
      <c r="I90" s="87"/>
    </row>
    <row r="91" spans="5:9">
      <c r="E91" s="83"/>
      <c r="I91" s="87"/>
    </row>
    <row r="92" spans="5:9">
      <c r="E92" s="83"/>
      <c r="H92" s="83"/>
      <c r="I92" s="87"/>
    </row>
    <row r="93" spans="5:9">
      <c r="E93" s="83"/>
      <c r="I93" s="87"/>
    </row>
    <row r="94" spans="5:9">
      <c r="E94" s="83"/>
      <c r="H94" s="83"/>
      <c r="I94" s="87"/>
    </row>
    <row r="95" spans="5:9">
      <c r="E95" s="83"/>
      <c r="I95" s="87"/>
    </row>
    <row r="96" spans="5:9">
      <c r="E96" s="83"/>
      <c r="I96" s="87"/>
    </row>
    <row r="97" spans="5:9">
      <c r="E97" s="83"/>
      <c r="I97" s="87"/>
    </row>
    <row r="98" spans="5:9">
      <c r="E98" s="83"/>
      <c r="I98" s="87"/>
    </row>
    <row r="99" spans="5:9">
      <c r="E99" s="83"/>
      <c r="I99" s="87"/>
    </row>
    <row r="100" spans="5:9">
      <c r="E100" s="83"/>
      <c r="I100" s="87"/>
    </row>
    <row r="101" spans="5:9">
      <c r="E101" s="83"/>
      <c r="I101" s="87"/>
    </row>
    <row r="102" spans="5:9">
      <c r="E102" s="83"/>
      <c r="I102" s="87"/>
    </row>
    <row r="103" spans="5:9">
      <c r="E103" s="83"/>
      <c r="I103" s="87"/>
    </row>
    <row r="104" spans="5:9">
      <c r="E104" s="83"/>
      <c r="I104" s="87"/>
    </row>
    <row r="105" spans="5:9">
      <c r="E105" s="83"/>
      <c r="I105" s="87"/>
    </row>
    <row r="106" spans="5:9">
      <c r="E106" s="83"/>
      <c r="I106" s="87"/>
    </row>
    <row r="107" spans="5:9">
      <c r="E107" s="83"/>
      <c r="I107" s="87"/>
    </row>
    <row r="108" spans="5:9">
      <c r="E108" s="83"/>
      <c r="I108" s="87"/>
    </row>
    <row r="109" spans="5:9">
      <c r="E109" s="83"/>
      <c r="I109" s="87"/>
    </row>
    <row r="110" spans="5:9">
      <c r="E110" s="83"/>
      <c r="H110" s="83"/>
      <c r="I110" s="87"/>
    </row>
    <row r="111" spans="5:9">
      <c r="E111" s="83"/>
      <c r="I111" s="87"/>
    </row>
    <row r="112" spans="5:9">
      <c r="E112" s="83"/>
      <c r="I112" s="87"/>
    </row>
    <row r="113" spans="5:9">
      <c r="E113" s="83"/>
      <c r="I113" s="87"/>
    </row>
    <row r="114" spans="5:9">
      <c r="E114" s="83"/>
      <c r="I114" s="87"/>
    </row>
    <row r="115" spans="5:9">
      <c r="E115" s="83"/>
      <c r="I115" s="87"/>
    </row>
    <row r="116" spans="5:9">
      <c r="E116" s="83"/>
      <c r="I116" s="87"/>
    </row>
    <row r="117" spans="5:9">
      <c r="E117" s="83"/>
      <c r="I117" s="87"/>
    </row>
    <row r="118" spans="5:9">
      <c r="E118" s="83"/>
      <c r="I118" s="87"/>
    </row>
    <row r="119" spans="5:9">
      <c r="E119" s="83"/>
      <c r="H119" s="83"/>
      <c r="I119" s="87"/>
    </row>
    <row r="120" spans="5:9">
      <c r="E120" s="83"/>
      <c r="I120" s="87"/>
    </row>
    <row r="121" spans="5:9">
      <c r="E121" s="83"/>
      <c r="H121" s="83"/>
      <c r="I121" s="87"/>
    </row>
    <row r="122" spans="5:9">
      <c r="E122" s="83"/>
      <c r="I122" s="87"/>
    </row>
    <row r="123" spans="5:9">
      <c r="E123" s="83"/>
      <c r="I123" s="87"/>
    </row>
    <row r="124" spans="5:9">
      <c r="E124" s="83"/>
      <c r="I124" s="87"/>
    </row>
    <row r="125" spans="5:9">
      <c r="E125" s="83"/>
      <c r="H125" s="83"/>
      <c r="I125" s="87"/>
    </row>
    <row r="126" spans="5:9">
      <c r="E126" s="83"/>
      <c r="I126" s="87"/>
    </row>
    <row r="127" spans="5:9">
      <c r="E127" s="83"/>
      <c r="I127" s="87"/>
    </row>
    <row r="128" spans="5:9">
      <c r="E128" s="83"/>
      <c r="I128" s="87"/>
    </row>
    <row r="129" spans="5:9">
      <c r="E129" s="83"/>
      <c r="H129" s="83"/>
      <c r="I129" s="87"/>
    </row>
    <row r="130" spans="5:9">
      <c r="E130" s="83"/>
      <c r="I130" s="87"/>
    </row>
    <row r="131" spans="5:9">
      <c r="E131" s="83"/>
      <c r="I131" s="87"/>
    </row>
    <row r="132" spans="5:9">
      <c r="E132" s="83"/>
      <c r="I132" s="87"/>
    </row>
    <row r="133" spans="5:9">
      <c r="E133" s="83"/>
    </row>
    <row r="134" spans="5:9">
      <c r="E134" s="83"/>
    </row>
    <row r="135" spans="5:9">
      <c r="E135" s="83"/>
    </row>
    <row r="136" spans="5:9">
      <c r="E136" s="83"/>
    </row>
    <row r="137" spans="5:9">
      <c r="E137" s="83"/>
    </row>
    <row r="138" spans="5:9">
      <c r="E138" s="83"/>
      <c r="I138" s="87"/>
    </row>
    <row r="139" spans="5:9">
      <c r="E139" s="83"/>
      <c r="I139" s="87"/>
    </row>
    <row r="140" spans="5:9">
      <c r="E140" s="83"/>
      <c r="I140" s="87"/>
    </row>
    <row r="141" spans="5:9">
      <c r="E141" s="83"/>
      <c r="I141" s="87"/>
    </row>
    <row r="142" spans="5:9">
      <c r="E142" s="83"/>
      <c r="I142" s="87"/>
    </row>
    <row r="143" spans="5:9">
      <c r="E143" s="83"/>
      <c r="I143" s="87"/>
    </row>
    <row r="144" spans="5:9">
      <c r="E144" s="83"/>
      <c r="H144" s="83"/>
      <c r="I144" s="87"/>
    </row>
    <row r="145" spans="5:9">
      <c r="E145" s="83"/>
      <c r="I145" s="87"/>
    </row>
    <row r="146" spans="5:9">
      <c r="E146" s="83"/>
      <c r="I146" s="87"/>
    </row>
    <row r="147" spans="5:9">
      <c r="E147" s="83"/>
      <c r="I147" s="87"/>
    </row>
    <row r="148" spans="5:9">
      <c r="E148" s="83"/>
      <c r="I148" s="87"/>
    </row>
    <row r="149" spans="5:9">
      <c r="E149" s="83"/>
      <c r="I149" s="87"/>
    </row>
    <row r="150" spans="5:9">
      <c r="E150" s="83"/>
      <c r="I150" s="87"/>
    </row>
    <row r="151" spans="5:9">
      <c r="E151" s="83"/>
      <c r="I151" s="87"/>
    </row>
    <row r="152" spans="5:9">
      <c r="E152" s="83"/>
      <c r="I152" s="87"/>
    </row>
    <row r="153" spans="5:9">
      <c r="E153" s="83"/>
      <c r="I153" s="87"/>
    </row>
    <row r="154" spans="5:9">
      <c r="E154" s="83"/>
      <c r="H154" s="83"/>
      <c r="I154" s="87"/>
    </row>
    <row r="155" spans="5:9">
      <c r="E155" s="83"/>
      <c r="I155" s="87"/>
    </row>
    <row r="156" spans="5:9">
      <c r="E156" s="83"/>
      <c r="I156" s="87"/>
    </row>
    <row r="157" spans="5:9">
      <c r="E157" s="83"/>
      <c r="I157" s="87"/>
    </row>
    <row r="158" spans="5:9">
      <c r="E158" s="83"/>
      <c r="H158" s="83"/>
    </row>
    <row r="159" spans="5:9">
      <c r="E159" s="83"/>
    </row>
    <row r="160" spans="5:9">
      <c r="E160" s="83"/>
    </row>
    <row r="161" spans="5:9">
      <c r="E161" s="83"/>
    </row>
    <row r="162" spans="5:9">
      <c r="E162" s="83"/>
      <c r="I162" s="87"/>
    </row>
    <row r="163" spans="5:9">
      <c r="E163" s="83"/>
      <c r="I163" s="87"/>
    </row>
    <row r="164" spans="5:9">
      <c r="E164" s="83"/>
      <c r="I164" s="87"/>
    </row>
    <row r="165" spans="5:9">
      <c r="E165" s="83"/>
      <c r="I165" s="87"/>
    </row>
    <row r="166" spans="5:9">
      <c r="E166" s="83"/>
      <c r="I166" s="87"/>
    </row>
    <row r="167" spans="5:9">
      <c r="E167" s="83"/>
      <c r="I167" s="87"/>
    </row>
    <row r="168" spans="5:9">
      <c r="E168" s="83"/>
      <c r="H168" s="83"/>
      <c r="I168" s="87"/>
    </row>
    <row r="169" spans="5:9">
      <c r="E169" s="83"/>
      <c r="I169" s="87"/>
    </row>
    <row r="170" spans="5:9">
      <c r="E170" s="83"/>
      <c r="I170" s="87"/>
    </row>
    <row r="171" spans="5:9">
      <c r="E171" s="83"/>
      <c r="H171" s="83"/>
      <c r="I171" s="87"/>
    </row>
    <row r="172" spans="5:9">
      <c r="E172" s="83"/>
      <c r="I172" s="87"/>
    </row>
    <row r="173" spans="5:9">
      <c r="E173" s="83"/>
      <c r="I173" s="87"/>
    </row>
    <row r="174" spans="5:9">
      <c r="E174" s="83"/>
      <c r="H174" s="83"/>
      <c r="I174" s="87"/>
    </row>
    <row r="175" spans="5:9">
      <c r="E175" s="83"/>
      <c r="I175" s="87"/>
    </row>
    <row r="176" spans="5:9">
      <c r="E176" s="83"/>
      <c r="I176" s="87"/>
    </row>
    <row r="177" spans="5:9">
      <c r="E177" s="83"/>
      <c r="I177" s="87"/>
    </row>
    <row r="178" spans="5:9">
      <c r="E178" s="83"/>
      <c r="I178" s="87"/>
    </row>
    <row r="179" spans="5:9">
      <c r="E179" s="83"/>
      <c r="I179" s="87"/>
    </row>
    <row r="180" spans="5:9">
      <c r="E180" s="83"/>
      <c r="I180" s="87"/>
    </row>
    <row r="181" spans="5:9">
      <c r="E181" s="83"/>
      <c r="I181" s="87"/>
    </row>
    <row r="182" spans="5:9">
      <c r="E182" s="83"/>
      <c r="I182" s="87"/>
    </row>
    <row r="183" spans="5:9">
      <c r="E183" s="83"/>
      <c r="I183" s="87"/>
    </row>
    <row r="184" spans="5:9">
      <c r="E184" s="83"/>
      <c r="H184" s="83"/>
      <c r="I184" s="87"/>
    </row>
    <row r="185" spans="5:9">
      <c r="E185" s="83"/>
      <c r="I185" s="87"/>
    </row>
    <row r="186" spans="5:9">
      <c r="E186" s="83"/>
      <c r="I186" s="87"/>
    </row>
    <row r="187" spans="5:9">
      <c r="E187" s="83"/>
      <c r="I187" s="87"/>
    </row>
    <row r="188" spans="5:9">
      <c r="E188" s="83"/>
      <c r="I188" s="87"/>
    </row>
    <row r="189" spans="5:9">
      <c r="E189" s="83"/>
      <c r="I189" s="87"/>
    </row>
    <row r="190" spans="5:9">
      <c r="E190" s="83"/>
      <c r="H190" s="83"/>
      <c r="I190" s="87"/>
    </row>
    <row r="191" spans="5:9">
      <c r="E191" s="83"/>
      <c r="I191" s="87"/>
    </row>
    <row r="192" spans="5:9">
      <c r="E192" s="83"/>
      <c r="H192" s="83"/>
      <c r="I192" s="87"/>
    </row>
    <row r="193" spans="5:9">
      <c r="E193" s="83"/>
      <c r="I193" s="87"/>
    </row>
    <row r="194" spans="5:9">
      <c r="E194" s="83"/>
      <c r="I194" s="87"/>
    </row>
    <row r="195" spans="5:9">
      <c r="E195" s="83"/>
      <c r="H195" s="83"/>
      <c r="I195" s="87"/>
    </row>
    <row r="196" spans="5:9">
      <c r="E196" s="83"/>
      <c r="I196" s="87"/>
    </row>
    <row r="197" spans="5:9">
      <c r="E197" s="83"/>
      <c r="H197" s="83"/>
      <c r="I197" s="87"/>
    </row>
    <row r="198" spans="5:9">
      <c r="E198" s="83"/>
      <c r="I198" s="87"/>
    </row>
    <row r="199" spans="5:9">
      <c r="E199" s="83"/>
      <c r="H199" s="83"/>
      <c r="I199" s="87"/>
    </row>
    <row r="200" spans="5:9">
      <c r="E200" s="83"/>
      <c r="I200" s="87"/>
    </row>
    <row r="201" spans="5:9">
      <c r="E201" s="83"/>
      <c r="I201" s="87"/>
    </row>
    <row r="202" spans="5:9">
      <c r="E202" s="83"/>
      <c r="I202" s="87"/>
    </row>
    <row r="203" spans="5:9">
      <c r="E203" s="83"/>
      <c r="I203" s="87"/>
    </row>
    <row r="204" spans="5:9">
      <c r="E204" s="83"/>
      <c r="I204" s="87"/>
    </row>
    <row r="205" spans="5:9">
      <c r="E205" s="83"/>
      <c r="I205" s="87"/>
    </row>
    <row r="206" spans="5:9">
      <c r="E206" s="83"/>
      <c r="I206" s="87"/>
    </row>
    <row r="207" spans="5:9">
      <c r="E207" s="83"/>
      <c r="I207" s="87"/>
    </row>
    <row r="208" spans="5:9">
      <c r="E208" s="83"/>
      <c r="I208" s="87"/>
    </row>
    <row r="209" spans="5:9">
      <c r="E209" s="83"/>
      <c r="I209" s="87"/>
    </row>
    <row r="210" spans="5:9">
      <c r="E210" s="83"/>
      <c r="I210" s="87"/>
    </row>
    <row r="211" spans="5:9">
      <c r="E211" s="83"/>
      <c r="I211" s="87"/>
    </row>
    <row r="212" spans="5:9">
      <c r="E212" s="83"/>
      <c r="I212" s="87"/>
    </row>
    <row r="213" spans="5:9">
      <c r="E213" s="83"/>
      <c r="I213" s="87"/>
    </row>
    <row r="214" spans="5:9">
      <c r="E214" s="83"/>
      <c r="I214" s="87"/>
    </row>
    <row r="215" spans="5:9">
      <c r="E215" s="83"/>
      <c r="I215" s="87"/>
    </row>
    <row r="216" spans="5:9">
      <c r="E216" s="83"/>
      <c r="I216" s="87"/>
    </row>
    <row r="217" spans="5:9">
      <c r="E217" s="83"/>
      <c r="I217" s="87"/>
    </row>
    <row r="218" spans="5:9">
      <c r="E218" s="83"/>
      <c r="I218" s="87"/>
    </row>
    <row r="219" spans="5:9">
      <c r="E219" s="83"/>
      <c r="I219" s="87"/>
    </row>
    <row r="220" spans="5:9">
      <c r="E220" s="83"/>
      <c r="I220" s="87"/>
    </row>
    <row r="221" spans="5:9">
      <c r="E221" s="83"/>
      <c r="I221" s="87"/>
    </row>
    <row r="222" spans="5:9">
      <c r="E222" s="83"/>
      <c r="I222" s="87"/>
    </row>
    <row r="223" spans="5:9">
      <c r="E223" s="83"/>
      <c r="I223" s="87"/>
    </row>
  </sheetData>
  <sheetProtection sheet="1" objects="1" scenarios="1" insertHyperlinks="0" autoFilter="0"/>
  <autoFilter ref="C1:O223" xr:uid="{D20BB459-3EB0-4788-AE82-2830BB5537EE}"/>
  <sortState xmlns:xlrd2="http://schemas.microsoft.com/office/spreadsheetml/2017/richdata2" ref="A2:O223">
    <sortCondition ref="E2"/>
    <sortCondition ref="C2"/>
  </sortState>
  <conditionalFormatting sqref="A1:XFD1048576">
    <cfRule type="expression" dxfId="41" priority="1">
      <formula>$F1="Anulada"</formula>
    </cfRule>
    <cfRule type="expression" dxfId="40" priority="2">
      <formula>$F1="Anular tarea"</formula>
    </cfRule>
    <cfRule type="expression" dxfId="39" priority="3">
      <formula>$F1="Pendiente"</formula>
    </cfRule>
    <cfRule type="expression" dxfId="38" priority="4">
      <formula>$F1="Vencida"</formula>
    </cfRule>
    <cfRule type="expression" dxfId="37" priority="5">
      <formula>$F1="Completada"</formula>
    </cfRule>
  </conditionalFormatting>
  <dataValidations count="2">
    <dataValidation type="list" allowBlank="1" showInputMessage="1" showErrorMessage="1" sqref="F1:F1048576" xr:uid="{09696298-2E09-4A56-8465-1B8834581884}">
      <formula1>"Pendiente,Completada,Vencida,Anular tarea"</formula1>
    </dataValidation>
    <dataValidation type="list" allowBlank="1" showInputMessage="1" showErrorMessage="1" sqref="O1:O1048576" xr:uid="{9129BE5A-E9A3-41C1-A897-E1B33635485E}">
      <formula1>INDIRECT(TRIM(SUBSTITUTE($G1," ","_")))</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0BF68-3E2A-4C46-87AE-F5A2382AC536}">
  <sheetPr codeName="Sheet1"/>
  <dimension ref="A1:R135"/>
  <sheetViews>
    <sheetView zoomScaleNormal="100" workbookViewId="0">
      <pane xSplit="3" ySplit="1" topLeftCell="D2" activePane="bottomRight" state="frozen"/>
      <selection pane="bottomRight" activeCell="B2" sqref="B2"/>
      <selection pane="bottomLeft" activeCell="A2" sqref="A2"/>
      <selection pane="topRight" activeCell="D1" sqref="D1"/>
    </sheetView>
  </sheetViews>
  <sheetFormatPr defaultRowHeight="14.45"/>
  <cols>
    <col min="1" max="1" width="19.42578125" style="95" bestFit="1" customWidth="1"/>
    <col min="2" max="2" width="12" style="74" bestFit="1" customWidth="1"/>
    <col min="3" max="3" width="20.140625" style="74" bestFit="1" customWidth="1"/>
    <col min="4" max="4" width="57" style="95" customWidth="1"/>
    <col min="5" max="5" width="86.85546875" style="85" bestFit="1" customWidth="1"/>
    <col min="6" max="6" width="96.7109375" style="85" customWidth="1"/>
    <col min="7" max="7" width="29.85546875" style="85" customWidth="1"/>
    <col min="8" max="8" width="18.85546875" style="86" bestFit="1" customWidth="1"/>
    <col min="9" max="9" width="32.5703125" style="86" bestFit="1" customWidth="1"/>
    <col min="10" max="10" width="29.42578125" style="86" bestFit="1" customWidth="1"/>
    <col min="11" max="11" width="80.140625" style="85" customWidth="1"/>
    <col min="12" max="12" width="41.85546875" style="95" bestFit="1" customWidth="1"/>
    <col min="13" max="13" width="39.85546875" style="85" customWidth="1"/>
    <col min="14" max="14" width="19.7109375" style="86" customWidth="1"/>
    <col min="15" max="15" width="48.140625" style="85" customWidth="1"/>
    <col min="16" max="16" width="23" style="74" customWidth="1"/>
    <col min="17" max="17" width="15.85546875" style="86" customWidth="1"/>
    <col min="18" max="18" width="80.140625" style="85" hidden="1" customWidth="1"/>
  </cols>
  <sheetData>
    <row r="1" spans="1:18">
      <c r="A1" s="90" t="s">
        <v>627</v>
      </c>
      <c r="B1" s="81" t="s">
        <v>1250</v>
      </c>
      <c r="C1" s="81" t="s">
        <v>1251</v>
      </c>
      <c r="D1" s="90" t="s">
        <v>1252</v>
      </c>
      <c r="E1" s="96" t="s">
        <v>628</v>
      </c>
      <c r="F1" s="96" t="s">
        <v>629</v>
      </c>
      <c r="G1" s="96" t="s">
        <v>1253</v>
      </c>
      <c r="H1" s="97" t="s">
        <v>1254</v>
      </c>
      <c r="I1" s="97" t="s">
        <v>1255</v>
      </c>
      <c r="J1" s="97" t="s">
        <v>1256</v>
      </c>
      <c r="K1" s="96" t="s">
        <v>1257</v>
      </c>
      <c r="L1" s="90" t="s">
        <v>1258</v>
      </c>
      <c r="M1" s="96" t="s">
        <v>1259</v>
      </c>
      <c r="N1" s="97" t="s">
        <v>1260</v>
      </c>
      <c r="O1" s="96" t="s">
        <v>1261</v>
      </c>
      <c r="P1" s="78" t="s">
        <v>1248</v>
      </c>
      <c r="Q1" s="97" t="s">
        <v>1262</v>
      </c>
      <c r="R1" s="91" t="s">
        <v>1263</v>
      </c>
    </row>
    <row r="2" spans="1:18">
      <c r="A2" s="79" t="s">
        <v>636</v>
      </c>
      <c r="B2" s="75" t="s">
        <v>1264</v>
      </c>
      <c r="C2" s="75" t="s">
        <v>449</v>
      </c>
      <c r="D2" s="79" t="s">
        <v>1265</v>
      </c>
      <c r="E2" s="88" t="s">
        <v>450</v>
      </c>
      <c r="F2" s="88" t="s">
        <v>637</v>
      </c>
      <c r="G2" s="88" t="s">
        <v>1266</v>
      </c>
      <c r="H2" s="77" t="s">
        <v>1267</v>
      </c>
      <c r="I2" s="77"/>
      <c r="J2" s="77"/>
      <c r="K2" s="88" t="s">
        <v>1268</v>
      </c>
      <c r="L2" s="79" t="s">
        <v>1269</v>
      </c>
      <c r="M2" s="87"/>
      <c r="N2" s="77" t="s">
        <v>1270</v>
      </c>
      <c r="O2" s="88"/>
      <c r="P2" s="74" t="s">
        <v>1271</v>
      </c>
      <c r="R2" s="92"/>
    </row>
    <row r="3" spans="1:18" ht="28.9">
      <c r="A3" s="79" t="s">
        <v>640</v>
      </c>
      <c r="B3" s="75" t="s">
        <v>1264</v>
      </c>
      <c r="C3" s="75" t="s">
        <v>449</v>
      </c>
      <c r="D3" s="79" t="s">
        <v>1265</v>
      </c>
      <c r="E3" s="88" t="s">
        <v>451</v>
      </c>
      <c r="F3" s="88" t="s">
        <v>641</v>
      </c>
      <c r="G3" s="88" t="s">
        <v>1272</v>
      </c>
      <c r="H3" s="77" t="s">
        <v>1267</v>
      </c>
      <c r="I3" s="77"/>
      <c r="J3" s="77"/>
      <c r="K3" s="88" t="s">
        <v>1273</v>
      </c>
      <c r="L3" s="79" t="s">
        <v>1274</v>
      </c>
      <c r="M3" s="87"/>
      <c r="N3" s="77" t="s">
        <v>1270</v>
      </c>
      <c r="O3" s="88"/>
      <c r="P3" s="74" t="s">
        <v>1271</v>
      </c>
      <c r="R3" s="93"/>
    </row>
    <row r="4" spans="1:18" ht="28.9">
      <c r="A4" s="79" t="s">
        <v>644</v>
      </c>
      <c r="B4" s="75" t="s">
        <v>1264</v>
      </c>
      <c r="C4" s="75" t="s">
        <v>449</v>
      </c>
      <c r="D4" s="79" t="s">
        <v>1265</v>
      </c>
      <c r="E4" s="88" t="s">
        <v>453</v>
      </c>
      <c r="F4" s="88" t="s">
        <v>645</v>
      </c>
      <c r="G4" s="88" t="s">
        <v>1272</v>
      </c>
      <c r="H4" s="77" t="s">
        <v>1267</v>
      </c>
      <c r="I4" s="77"/>
      <c r="J4" s="77"/>
      <c r="K4" s="88" t="s">
        <v>1275</v>
      </c>
      <c r="L4" s="79" t="s">
        <v>1276</v>
      </c>
      <c r="M4" s="87"/>
      <c r="N4" s="77" t="s">
        <v>1270</v>
      </c>
      <c r="O4" s="88"/>
      <c r="P4" s="74" t="s">
        <v>1271</v>
      </c>
      <c r="R4" s="93"/>
    </row>
    <row r="5" spans="1:18">
      <c r="A5" s="79" t="s">
        <v>649</v>
      </c>
      <c r="B5" s="75" t="s">
        <v>1264</v>
      </c>
      <c r="C5" s="75" t="s">
        <v>449</v>
      </c>
      <c r="D5" s="79" t="s">
        <v>1265</v>
      </c>
      <c r="E5" s="88" t="s">
        <v>650</v>
      </c>
      <c r="F5" s="88" t="s">
        <v>651</v>
      </c>
      <c r="G5" s="88" t="s">
        <v>83</v>
      </c>
      <c r="H5" s="77" t="s">
        <v>1267</v>
      </c>
      <c r="I5" s="77"/>
      <c r="J5" s="77"/>
      <c r="K5" s="88" t="s">
        <v>1277</v>
      </c>
      <c r="L5" s="79" t="s">
        <v>1278</v>
      </c>
      <c r="M5" s="87"/>
      <c r="N5" s="77" t="s">
        <v>1270</v>
      </c>
      <c r="O5" s="88"/>
      <c r="P5" s="74" t="s">
        <v>1271</v>
      </c>
      <c r="R5" s="93"/>
    </row>
    <row r="6" spans="1:18" ht="28.9">
      <c r="A6" s="79" t="s">
        <v>654</v>
      </c>
      <c r="B6" s="75" t="s">
        <v>1264</v>
      </c>
      <c r="C6" s="75" t="s">
        <v>449</v>
      </c>
      <c r="D6" s="79" t="s">
        <v>1265</v>
      </c>
      <c r="E6" s="88" t="s">
        <v>454</v>
      </c>
      <c r="F6" s="88" t="s">
        <v>655</v>
      </c>
      <c r="G6" s="88" t="s">
        <v>1279</v>
      </c>
      <c r="H6" s="77" t="s">
        <v>1267</v>
      </c>
      <c r="I6" s="77"/>
      <c r="J6" s="77"/>
      <c r="K6" s="88" t="s">
        <v>1280</v>
      </c>
      <c r="L6" s="79" t="s">
        <v>1281</v>
      </c>
      <c r="M6" s="87"/>
      <c r="N6" s="77" t="s">
        <v>1270</v>
      </c>
      <c r="O6" s="88"/>
      <c r="P6" s="74" t="s">
        <v>1271</v>
      </c>
      <c r="R6" s="93"/>
    </row>
    <row r="7" spans="1:18" ht="28.9">
      <c r="A7" s="79" t="s">
        <v>658</v>
      </c>
      <c r="B7" s="75" t="s">
        <v>1264</v>
      </c>
      <c r="C7" s="75" t="s">
        <v>455</v>
      </c>
      <c r="D7" s="79" t="s">
        <v>1282</v>
      </c>
      <c r="E7" s="88" t="s">
        <v>456</v>
      </c>
      <c r="F7" s="88" t="s">
        <v>659</v>
      </c>
      <c r="G7" s="88" t="s">
        <v>1272</v>
      </c>
      <c r="H7" s="77" t="s">
        <v>1283</v>
      </c>
      <c r="I7" s="77"/>
      <c r="J7" s="94"/>
      <c r="K7" s="88" t="s">
        <v>1284</v>
      </c>
      <c r="L7" s="79" t="s">
        <v>1285</v>
      </c>
      <c r="M7" s="87"/>
      <c r="N7" s="77" t="s">
        <v>1270</v>
      </c>
      <c r="O7" s="88"/>
      <c r="P7" s="74" t="s">
        <v>1271</v>
      </c>
      <c r="R7" s="93"/>
    </row>
    <row r="8" spans="1:18" ht="28.9">
      <c r="A8" s="79" t="s">
        <v>663</v>
      </c>
      <c r="B8" s="75" t="s">
        <v>1264</v>
      </c>
      <c r="C8" s="75" t="s">
        <v>455</v>
      </c>
      <c r="D8" s="79" t="s">
        <v>1282</v>
      </c>
      <c r="E8" s="88" t="s">
        <v>457</v>
      </c>
      <c r="F8" s="88" t="s">
        <v>664</v>
      </c>
      <c r="G8" s="88" t="s">
        <v>1286</v>
      </c>
      <c r="H8" s="77" t="s">
        <v>1287</v>
      </c>
      <c r="I8" s="77"/>
      <c r="J8" s="77"/>
      <c r="K8" s="88" t="s">
        <v>1288</v>
      </c>
      <c r="L8" s="79" t="s">
        <v>1289</v>
      </c>
      <c r="M8" s="87"/>
      <c r="N8" s="77" t="s">
        <v>1270</v>
      </c>
      <c r="O8" s="88"/>
      <c r="P8" s="74" t="s">
        <v>1271</v>
      </c>
      <c r="R8" s="93"/>
    </row>
    <row r="9" spans="1:18" ht="28.9">
      <c r="A9" s="79" t="s">
        <v>667</v>
      </c>
      <c r="B9" s="75" t="s">
        <v>1264</v>
      </c>
      <c r="C9" s="75" t="s">
        <v>455</v>
      </c>
      <c r="D9" s="79" t="s">
        <v>1282</v>
      </c>
      <c r="E9" s="88" t="s">
        <v>458</v>
      </c>
      <c r="F9" s="88" t="s">
        <v>1290</v>
      </c>
      <c r="G9" s="88" t="s">
        <v>1286</v>
      </c>
      <c r="H9" s="77" t="s">
        <v>1267</v>
      </c>
      <c r="I9" s="77"/>
      <c r="J9" s="77"/>
      <c r="K9" s="88" t="s">
        <v>1291</v>
      </c>
      <c r="L9" s="79" t="s">
        <v>1292</v>
      </c>
      <c r="M9" s="87"/>
      <c r="N9" s="77" t="s">
        <v>1270</v>
      </c>
      <c r="O9" s="88"/>
      <c r="P9" s="74" t="s">
        <v>1271</v>
      </c>
      <c r="R9" s="93"/>
    </row>
    <row r="10" spans="1:18" ht="28.9">
      <c r="A10" s="79" t="s">
        <v>672</v>
      </c>
      <c r="B10" s="75" t="s">
        <v>1264</v>
      </c>
      <c r="C10" s="75" t="s">
        <v>455</v>
      </c>
      <c r="D10" s="79" t="s">
        <v>1282</v>
      </c>
      <c r="E10" s="88" t="s">
        <v>459</v>
      </c>
      <c r="F10" s="88" t="s">
        <v>674</v>
      </c>
      <c r="G10" s="88" t="s">
        <v>1293</v>
      </c>
      <c r="H10" s="77" t="s">
        <v>1267</v>
      </c>
      <c r="I10" s="77"/>
      <c r="J10" s="77"/>
      <c r="K10" s="88" t="s">
        <v>1294</v>
      </c>
      <c r="L10" s="79" t="s">
        <v>1276</v>
      </c>
      <c r="M10" s="87"/>
      <c r="N10" s="77" t="s">
        <v>1270</v>
      </c>
      <c r="O10" s="88"/>
      <c r="P10" s="74" t="s">
        <v>1271</v>
      </c>
      <c r="R10" s="93"/>
    </row>
    <row r="11" spans="1:18">
      <c r="A11" s="79" t="s">
        <v>677</v>
      </c>
      <c r="B11" s="75" t="s">
        <v>1264</v>
      </c>
      <c r="C11" s="75" t="s">
        <v>455</v>
      </c>
      <c r="D11" s="79" t="s">
        <v>1282</v>
      </c>
      <c r="E11" s="88" t="s">
        <v>460</v>
      </c>
      <c r="F11" s="88" t="s">
        <v>678</v>
      </c>
      <c r="G11" s="88" t="s">
        <v>7</v>
      </c>
      <c r="H11" s="77" t="s">
        <v>1267</v>
      </c>
      <c r="I11" s="77"/>
      <c r="J11" s="77"/>
      <c r="K11" s="88" t="s">
        <v>1295</v>
      </c>
      <c r="L11" s="79" t="s">
        <v>1296</v>
      </c>
      <c r="M11" s="87"/>
      <c r="N11" s="77" t="s">
        <v>1270</v>
      </c>
      <c r="O11" s="88"/>
      <c r="P11" s="74" t="s">
        <v>1271</v>
      </c>
      <c r="R11" s="93"/>
    </row>
    <row r="12" spans="1:18" ht="28.9">
      <c r="A12" s="79" t="s">
        <v>681</v>
      </c>
      <c r="B12" s="75" t="s">
        <v>1264</v>
      </c>
      <c r="C12" s="75" t="s">
        <v>461</v>
      </c>
      <c r="D12" s="79" t="s">
        <v>1297</v>
      </c>
      <c r="E12" s="88" t="s">
        <v>1298</v>
      </c>
      <c r="F12" s="88" t="s">
        <v>682</v>
      </c>
      <c r="G12" s="88" t="s">
        <v>1279</v>
      </c>
      <c r="H12" s="77" t="s">
        <v>1299</v>
      </c>
      <c r="I12" s="77" t="s">
        <v>1300</v>
      </c>
      <c r="J12" s="77"/>
      <c r="K12" s="88" t="s">
        <v>1301</v>
      </c>
      <c r="L12" s="79" t="s">
        <v>1302</v>
      </c>
      <c r="M12" s="87"/>
      <c r="N12" s="77" t="s">
        <v>1270</v>
      </c>
      <c r="O12" s="88"/>
      <c r="P12" s="74" t="s">
        <v>1271</v>
      </c>
      <c r="R12" s="93"/>
    </row>
    <row r="13" spans="1:18">
      <c r="A13" s="79" t="s">
        <v>685</v>
      </c>
      <c r="B13" s="75" t="s">
        <v>1264</v>
      </c>
      <c r="C13" s="75" t="s">
        <v>461</v>
      </c>
      <c r="D13" s="79" t="s">
        <v>1297</v>
      </c>
      <c r="E13" s="88" t="s">
        <v>686</v>
      </c>
      <c r="F13" s="88" t="s">
        <v>687</v>
      </c>
      <c r="G13" s="88" t="s">
        <v>83</v>
      </c>
      <c r="H13" s="77" t="s">
        <v>1303</v>
      </c>
      <c r="I13" s="77"/>
      <c r="J13" s="77"/>
      <c r="K13" s="88" t="s">
        <v>1304</v>
      </c>
      <c r="L13" s="79" t="s">
        <v>1305</v>
      </c>
      <c r="M13" s="87"/>
      <c r="N13" s="77" t="s">
        <v>1270</v>
      </c>
      <c r="O13" s="88"/>
      <c r="P13" s="74" t="s">
        <v>1271</v>
      </c>
      <c r="R13" s="93"/>
    </row>
    <row r="14" spans="1:18">
      <c r="A14" s="79" t="s">
        <v>691</v>
      </c>
      <c r="B14" s="75" t="s">
        <v>1264</v>
      </c>
      <c r="C14" s="75" t="s">
        <v>461</v>
      </c>
      <c r="D14" s="79" t="s">
        <v>1297</v>
      </c>
      <c r="E14" s="88" t="s">
        <v>462</v>
      </c>
      <c r="F14" s="88" t="s">
        <v>692</v>
      </c>
      <c r="G14" s="88" t="s">
        <v>7</v>
      </c>
      <c r="H14" s="77" t="s">
        <v>1306</v>
      </c>
      <c r="I14" s="77"/>
      <c r="J14" s="77"/>
      <c r="K14" s="88" t="s">
        <v>1307</v>
      </c>
      <c r="L14" s="79" t="s">
        <v>1308</v>
      </c>
      <c r="M14" s="118"/>
      <c r="N14" s="77" t="s">
        <v>1270</v>
      </c>
      <c r="O14" s="88"/>
      <c r="P14" s="74" t="s">
        <v>1271</v>
      </c>
      <c r="R14" s="93"/>
    </row>
    <row r="15" spans="1:18">
      <c r="A15" s="95" t="s">
        <v>1309</v>
      </c>
      <c r="B15" s="74" t="s">
        <v>1264</v>
      </c>
      <c r="C15" s="74" t="s">
        <v>461</v>
      </c>
      <c r="D15" s="95" t="s">
        <v>1297</v>
      </c>
      <c r="E15" s="85" t="s">
        <v>1310</v>
      </c>
      <c r="G15" s="85" t="s">
        <v>1272</v>
      </c>
      <c r="H15" s="86" t="s">
        <v>1299</v>
      </c>
      <c r="I15" s="86" t="s">
        <v>1300</v>
      </c>
      <c r="M15" s="117"/>
      <c r="N15" s="86" t="s">
        <v>1270</v>
      </c>
      <c r="P15" s="74" t="s">
        <v>1271</v>
      </c>
      <c r="R15" s="93"/>
    </row>
    <row r="16" spans="1:18">
      <c r="A16" s="79" t="s">
        <v>695</v>
      </c>
      <c r="B16" s="75" t="s">
        <v>1264</v>
      </c>
      <c r="C16" s="75" t="s">
        <v>463</v>
      </c>
      <c r="D16" s="79" t="s">
        <v>1311</v>
      </c>
      <c r="E16" s="88" t="s">
        <v>464</v>
      </c>
      <c r="F16" s="88" t="s">
        <v>696</v>
      </c>
      <c r="G16" s="88" t="s">
        <v>7</v>
      </c>
      <c r="H16" s="77" t="s">
        <v>1303</v>
      </c>
      <c r="I16" s="77"/>
      <c r="J16" s="77"/>
      <c r="K16" s="88" t="s">
        <v>1312</v>
      </c>
      <c r="L16" s="79" t="s">
        <v>1313</v>
      </c>
      <c r="M16" s="87"/>
      <c r="N16" s="77" t="s">
        <v>1270</v>
      </c>
      <c r="O16" s="88"/>
      <c r="P16" s="74" t="s">
        <v>1271</v>
      </c>
      <c r="R16" s="93"/>
    </row>
    <row r="17" spans="1:18">
      <c r="A17" s="79" t="s">
        <v>699</v>
      </c>
      <c r="B17" s="75" t="s">
        <v>1264</v>
      </c>
      <c r="C17" s="75" t="s">
        <v>463</v>
      </c>
      <c r="D17" s="79" t="s">
        <v>1311</v>
      </c>
      <c r="E17" s="88" t="s">
        <v>465</v>
      </c>
      <c r="F17" s="88" t="s">
        <v>700</v>
      </c>
      <c r="G17" s="88" t="s">
        <v>1266</v>
      </c>
      <c r="H17" s="77" t="s">
        <v>1303</v>
      </c>
      <c r="I17" s="77"/>
      <c r="J17" s="77"/>
      <c r="K17" s="88" t="s">
        <v>1314</v>
      </c>
      <c r="L17" s="79" t="s">
        <v>1315</v>
      </c>
      <c r="M17" s="87"/>
      <c r="N17" s="77" t="s">
        <v>1270</v>
      </c>
      <c r="O17" s="88"/>
      <c r="P17" s="74" t="s">
        <v>1271</v>
      </c>
      <c r="R17" s="93"/>
    </row>
    <row r="18" spans="1:18">
      <c r="A18" s="79" t="s">
        <v>703</v>
      </c>
      <c r="B18" s="75" t="s">
        <v>1264</v>
      </c>
      <c r="C18" s="75" t="s">
        <v>463</v>
      </c>
      <c r="D18" s="79" t="s">
        <v>1311</v>
      </c>
      <c r="E18" s="88" t="s">
        <v>466</v>
      </c>
      <c r="F18" s="88" t="s">
        <v>704</v>
      </c>
      <c r="G18" s="88" t="s">
        <v>1316</v>
      </c>
      <c r="H18" s="77" t="s">
        <v>1283</v>
      </c>
      <c r="I18" s="77"/>
      <c r="J18" s="77"/>
      <c r="K18" s="88" t="s">
        <v>1317</v>
      </c>
      <c r="L18" s="79" t="s">
        <v>1318</v>
      </c>
      <c r="M18" s="88"/>
      <c r="N18" s="77" t="s">
        <v>1270</v>
      </c>
      <c r="O18" s="88"/>
      <c r="P18" s="74" t="s">
        <v>1271</v>
      </c>
      <c r="R18" s="93"/>
    </row>
    <row r="19" spans="1:18">
      <c r="A19" s="95" t="s">
        <v>1319</v>
      </c>
      <c r="B19" s="74" t="s">
        <v>1264</v>
      </c>
      <c r="C19" s="74" t="s">
        <v>463</v>
      </c>
      <c r="D19" s="95" t="s">
        <v>1311</v>
      </c>
      <c r="E19" s="85" t="s">
        <v>467</v>
      </c>
      <c r="G19" s="85" t="s">
        <v>7</v>
      </c>
      <c r="H19" s="86" t="s">
        <v>1303</v>
      </c>
      <c r="M19" s="120"/>
      <c r="N19" s="86" t="s">
        <v>1270</v>
      </c>
      <c r="P19" s="74" t="s">
        <v>1271</v>
      </c>
      <c r="R19" s="93"/>
    </row>
    <row r="20" spans="1:18">
      <c r="A20" s="95" t="s">
        <v>1320</v>
      </c>
      <c r="B20" s="74" t="s">
        <v>1264</v>
      </c>
      <c r="C20" s="74" t="s">
        <v>463</v>
      </c>
      <c r="D20" s="95" t="s">
        <v>1311</v>
      </c>
      <c r="E20" s="85" t="s">
        <v>1321</v>
      </c>
      <c r="G20" s="85" t="s">
        <v>7</v>
      </c>
      <c r="H20" s="86" t="s">
        <v>1299</v>
      </c>
      <c r="I20" s="86" t="s">
        <v>1322</v>
      </c>
      <c r="M20" s="10"/>
      <c r="N20" s="86" t="s">
        <v>1270</v>
      </c>
      <c r="P20" s="74" t="s">
        <v>1271</v>
      </c>
      <c r="R20" s="93"/>
    </row>
    <row r="21" spans="1:18">
      <c r="A21" s="95" t="s">
        <v>1323</v>
      </c>
      <c r="B21" s="74" t="s">
        <v>1264</v>
      </c>
      <c r="C21" s="74" t="s">
        <v>463</v>
      </c>
      <c r="D21" s="95" t="s">
        <v>1311</v>
      </c>
      <c r="E21" s="88" t="s">
        <v>1324</v>
      </c>
      <c r="G21" s="85" t="s">
        <v>7</v>
      </c>
      <c r="H21" s="86" t="s">
        <v>1299</v>
      </c>
      <c r="I21" s="86" t="s">
        <v>1300</v>
      </c>
      <c r="M21" s="120"/>
      <c r="N21" s="86" t="s">
        <v>1270</v>
      </c>
      <c r="P21" s="74" t="s">
        <v>1271</v>
      </c>
      <c r="R21" s="93"/>
    </row>
    <row r="22" spans="1:18">
      <c r="A22" s="95" t="s">
        <v>1325</v>
      </c>
      <c r="B22" s="74" t="s">
        <v>1264</v>
      </c>
      <c r="C22" s="74" t="s">
        <v>463</v>
      </c>
      <c r="D22" s="95" t="s">
        <v>1311</v>
      </c>
      <c r="E22" s="85" t="s">
        <v>468</v>
      </c>
      <c r="G22" s="85" t="s">
        <v>7</v>
      </c>
      <c r="H22" s="86" t="s">
        <v>1299</v>
      </c>
      <c r="I22" s="86" t="s">
        <v>1326</v>
      </c>
      <c r="M22" s="10"/>
      <c r="N22" s="86" t="s">
        <v>1270</v>
      </c>
      <c r="P22" s="74" t="s">
        <v>1271</v>
      </c>
      <c r="R22" s="93"/>
    </row>
    <row r="23" spans="1:18">
      <c r="A23" s="79" t="s">
        <v>707</v>
      </c>
      <c r="B23" s="75" t="s">
        <v>1264</v>
      </c>
      <c r="C23" s="75" t="s">
        <v>469</v>
      </c>
      <c r="D23" s="79" t="s">
        <v>1327</v>
      </c>
      <c r="E23" s="88" t="s">
        <v>470</v>
      </c>
      <c r="F23" s="88" t="s">
        <v>708</v>
      </c>
      <c r="G23" s="88" t="s">
        <v>7</v>
      </c>
      <c r="H23" s="77" t="s">
        <v>1303</v>
      </c>
      <c r="I23" s="77"/>
      <c r="J23" s="77"/>
      <c r="K23" s="88" t="s">
        <v>1328</v>
      </c>
      <c r="L23" s="79" t="s">
        <v>1329</v>
      </c>
      <c r="M23" s="87"/>
      <c r="N23" s="77" t="s">
        <v>1270</v>
      </c>
      <c r="O23" s="88"/>
      <c r="P23" s="74" t="s">
        <v>1271</v>
      </c>
      <c r="R23" s="93"/>
    </row>
    <row r="24" spans="1:18">
      <c r="A24" s="95" t="s">
        <v>1330</v>
      </c>
      <c r="B24" s="74" t="s">
        <v>1264</v>
      </c>
      <c r="C24" s="74" t="s">
        <v>469</v>
      </c>
      <c r="D24" s="95" t="s">
        <v>1327</v>
      </c>
      <c r="E24" s="85" t="s">
        <v>471</v>
      </c>
      <c r="G24" s="85" t="s">
        <v>7</v>
      </c>
      <c r="H24" s="86" t="s">
        <v>1306</v>
      </c>
      <c r="M24" s="117"/>
      <c r="N24" s="86" t="s">
        <v>1270</v>
      </c>
      <c r="P24" s="74" t="s">
        <v>1271</v>
      </c>
      <c r="R24" s="93"/>
    </row>
    <row r="25" spans="1:18">
      <c r="A25" s="95" t="s">
        <v>1331</v>
      </c>
      <c r="B25" s="74" t="s">
        <v>1264</v>
      </c>
      <c r="C25" s="74" t="s">
        <v>469</v>
      </c>
      <c r="D25" s="95" t="s">
        <v>1327</v>
      </c>
      <c r="E25" s="85" t="s">
        <v>472</v>
      </c>
      <c r="G25" s="85" t="s">
        <v>7</v>
      </c>
      <c r="H25" s="86" t="s">
        <v>1306</v>
      </c>
      <c r="M25" s="117"/>
      <c r="N25" s="86" t="s">
        <v>1270</v>
      </c>
      <c r="P25" s="74" t="s">
        <v>1271</v>
      </c>
      <c r="R25" s="93"/>
    </row>
    <row r="26" spans="1:18">
      <c r="A26" s="79" t="s">
        <v>712</v>
      </c>
      <c r="B26" s="75" t="s">
        <v>1264</v>
      </c>
      <c r="C26" s="75" t="s">
        <v>473</v>
      </c>
      <c r="D26" s="79" t="s">
        <v>1332</v>
      </c>
      <c r="E26" s="88" t="s">
        <v>474</v>
      </c>
      <c r="F26" s="88" t="s">
        <v>713</v>
      </c>
      <c r="G26" s="88" t="s">
        <v>7</v>
      </c>
      <c r="H26" s="77" t="s">
        <v>1303</v>
      </c>
      <c r="I26" s="77"/>
      <c r="J26" s="77"/>
      <c r="K26" s="88" t="s">
        <v>1333</v>
      </c>
      <c r="L26" s="79" t="s">
        <v>1313</v>
      </c>
      <c r="M26" s="87"/>
      <c r="N26" s="77" t="s">
        <v>1270</v>
      </c>
      <c r="O26" s="88"/>
      <c r="P26" s="74" t="s">
        <v>1271</v>
      </c>
      <c r="R26" s="93"/>
    </row>
    <row r="27" spans="1:18">
      <c r="A27" s="79" t="s">
        <v>716</v>
      </c>
      <c r="B27" s="75" t="s">
        <v>1264</v>
      </c>
      <c r="C27" s="75" t="s">
        <v>475</v>
      </c>
      <c r="D27" s="79" t="s">
        <v>1334</v>
      </c>
      <c r="E27" s="88" t="s">
        <v>476</v>
      </c>
      <c r="F27" s="88" t="s">
        <v>708</v>
      </c>
      <c r="G27" s="88" t="s">
        <v>7</v>
      </c>
      <c r="H27" s="77" t="s">
        <v>1303</v>
      </c>
      <c r="I27" s="77"/>
      <c r="J27" s="77"/>
      <c r="K27" s="88" t="s">
        <v>1328</v>
      </c>
      <c r="L27" s="79" t="s">
        <v>1329</v>
      </c>
      <c r="M27" s="87"/>
      <c r="N27" s="77" t="s">
        <v>1270</v>
      </c>
      <c r="O27" s="88"/>
      <c r="P27" s="74" t="s">
        <v>1271</v>
      </c>
      <c r="R27" s="93"/>
    </row>
    <row r="28" spans="1:18">
      <c r="A28" s="79" t="s">
        <v>719</v>
      </c>
      <c r="B28" s="75" t="s">
        <v>1264</v>
      </c>
      <c r="C28" s="75" t="s">
        <v>477</v>
      </c>
      <c r="D28" s="79" t="s">
        <v>1335</v>
      </c>
      <c r="E28" s="88" t="s">
        <v>720</v>
      </c>
      <c r="F28" s="88" t="s">
        <v>721</v>
      </c>
      <c r="G28" s="88" t="s">
        <v>7</v>
      </c>
      <c r="H28" s="77" t="s">
        <v>1299</v>
      </c>
      <c r="I28" s="77" t="s">
        <v>1322</v>
      </c>
      <c r="J28" s="77"/>
      <c r="K28" s="88" t="s">
        <v>1336</v>
      </c>
      <c r="L28" s="79" t="s">
        <v>1337</v>
      </c>
      <c r="M28" s="118"/>
      <c r="N28" s="77" t="s">
        <v>1270</v>
      </c>
      <c r="O28" s="88"/>
      <c r="P28" s="74" t="s">
        <v>1271</v>
      </c>
      <c r="R28" s="93"/>
    </row>
    <row r="29" spans="1:18" ht="28.9">
      <c r="A29" s="79" t="s">
        <v>724</v>
      </c>
      <c r="B29" s="75" t="s">
        <v>1264</v>
      </c>
      <c r="C29" s="75" t="s">
        <v>477</v>
      </c>
      <c r="D29" s="79" t="s">
        <v>1335</v>
      </c>
      <c r="E29" s="88" t="s">
        <v>478</v>
      </c>
      <c r="F29" s="88" t="s">
        <v>1338</v>
      </c>
      <c r="G29" s="88" t="s">
        <v>1339</v>
      </c>
      <c r="H29" s="77" t="s">
        <v>1306</v>
      </c>
      <c r="I29" s="77"/>
      <c r="J29" s="77"/>
      <c r="K29" s="88" t="s">
        <v>1340</v>
      </c>
      <c r="L29" s="79" t="s">
        <v>1341</v>
      </c>
      <c r="M29" s="118"/>
      <c r="N29" s="77" t="s">
        <v>1270</v>
      </c>
      <c r="O29" s="88"/>
      <c r="P29" s="74" t="s">
        <v>1271</v>
      </c>
      <c r="R29" s="93"/>
    </row>
    <row r="30" spans="1:18" ht="28.9">
      <c r="A30" s="79" t="s">
        <v>728</v>
      </c>
      <c r="B30" s="75" t="s">
        <v>1264</v>
      </c>
      <c r="C30" s="75" t="s">
        <v>477</v>
      </c>
      <c r="D30" s="79" t="s">
        <v>1335</v>
      </c>
      <c r="E30" s="88" t="s">
        <v>729</v>
      </c>
      <c r="F30" s="88" t="s">
        <v>730</v>
      </c>
      <c r="G30" s="88" t="s">
        <v>1293</v>
      </c>
      <c r="H30" s="77" t="s">
        <v>1299</v>
      </c>
      <c r="I30" s="77" t="s">
        <v>1300</v>
      </c>
      <c r="J30" s="77"/>
      <c r="K30" s="88" t="s">
        <v>1342</v>
      </c>
      <c r="L30" s="79" t="s">
        <v>1343</v>
      </c>
      <c r="M30" s="87"/>
      <c r="N30" s="77" t="s">
        <v>1270</v>
      </c>
      <c r="O30" s="88"/>
      <c r="P30" s="74" t="s">
        <v>1271</v>
      </c>
      <c r="R30" s="93"/>
    </row>
    <row r="31" spans="1:18">
      <c r="A31" s="79" t="s">
        <v>733</v>
      </c>
      <c r="B31" s="75" t="s">
        <v>1264</v>
      </c>
      <c r="C31" s="75" t="s">
        <v>479</v>
      </c>
      <c r="D31" s="79" t="s">
        <v>1344</v>
      </c>
      <c r="E31" s="88" t="s">
        <v>480</v>
      </c>
      <c r="F31" s="88" t="s">
        <v>734</v>
      </c>
      <c r="G31" s="88" t="s">
        <v>7</v>
      </c>
      <c r="H31" s="77" t="s">
        <v>1303</v>
      </c>
      <c r="I31" s="77"/>
      <c r="J31" s="77"/>
      <c r="K31" s="88" t="s">
        <v>1345</v>
      </c>
      <c r="L31" s="79" t="s">
        <v>1313</v>
      </c>
      <c r="M31" s="87"/>
      <c r="N31" s="77" t="s">
        <v>1270</v>
      </c>
      <c r="O31" s="88"/>
      <c r="P31" s="74" t="s">
        <v>1271</v>
      </c>
      <c r="R31" s="93"/>
    </row>
    <row r="32" spans="1:18">
      <c r="A32" s="79" t="s">
        <v>737</v>
      </c>
      <c r="B32" s="75" t="s">
        <v>1264</v>
      </c>
      <c r="C32" s="75" t="s">
        <v>479</v>
      </c>
      <c r="D32" s="79" t="s">
        <v>1344</v>
      </c>
      <c r="E32" s="88" t="s">
        <v>481</v>
      </c>
      <c r="F32" s="88" t="s">
        <v>739</v>
      </c>
      <c r="G32" s="88" t="s">
        <v>1346</v>
      </c>
      <c r="H32" s="77" t="s">
        <v>1306</v>
      </c>
      <c r="I32" s="77"/>
      <c r="J32" s="77"/>
      <c r="K32" s="88" t="s">
        <v>1347</v>
      </c>
      <c r="L32" s="79" t="s">
        <v>1348</v>
      </c>
      <c r="M32" s="87"/>
      <c r="N32" s="77" t="s">
        <v>1270</v>
      </c>
      <c r="O32" s="88"/>
      <c r="P32" s="74" t="s">
        <v>1271</v>
      </c>
      <c r="R32" s="93"/>
    </row>
    <row r="33" spans="1:18">
      <c r="A33" s="95" t="s">
        <v>1349</v>
      </c>
      <c r="B33" s="74" t="s">
        <v>1264</v>
      </c>
      <c r="C33" s="74" t="s">
        <v>479</v>
      </c>
      <c r="D33" s="95" t="s">
        <v>1344</v>
      </c>
      <c r="E33" s="85" t="s">
        <v>482</v>
      </c>
      <c r="G33" s="85" t="s">
        <v>7</v>
      </c>
      <c r="H33" s="86" t="s">
        <v>1303</v>
      </c>
      <c r="M33" s="117"/>
      <c r="N33" s="86" t="s">
        <v>1270</v>
      </c>
      <c r="P33" s="74" t="s">
        <v>1271</v>
      </c>
      <c r="R33" s="93"/>
    </row>
    <row r="34" spans="1:18">
      <c r="A34" s="95" t="s">
        <v>1350</v>
      </c>
      <c r="B34" s="74" t="s">
        <v>1264</v>
      </c>
      <c r="C34" s="74" t="s">
        <v>479</v>
      </c>
      <c r="D34" s="95" t="s">
        <v>1344</v>
      </c>
      <c r="E34" s="85" t="s">
        <v>483</v>
      </c>
      <c r="G34" s="85" t="s">
        <v>1346</v>
      </c>
      <c r="H34" s="86" t="s">
        <v>1283</v>
      </c>
      <c r="M34" s="117"/>
      <c r="N34" s="86" t="s">
        <v>1270</v>
      </c>
      <c r="P34" s="74" t="s">
        <v>1271</v>
      </c>
      <c r="R34" s="93"/>
    </row>
    <row r="35" spans="1:18">
      <c r="A35" s="95" t="s">
        <v>1351</v>
      </c>
      <c r="B35" s="74" t="s">
        <v>1264</v>
      </c>
      <c r="C35" s="74" t="s">
        <v>479</v>
      </c>
      <c r="D35" s="95" t="s">
        <v>1344</v>
      </c>
      <c r="E35" s="85" t="s">
        <v>484</v>
      </c>
      <c r="G35" s="85" t="s">
        <v>7</v>
      </c>
      <c r="H35" s="86" t="s">
        <v>1303</v>
      </c>
      <c r="M35" s="117"/>
      <c r="N35" s="86" t="s">
        <v>1270</v>
      </c>
      <c r="P35" s="74" t="s">
        <v>1271</v>
      </c>
      <c r="R35" s="93"/>
    </row>
    <row r="36" spans="1:18">
      <c r="A36" s="95" t="s">
        <v>1352</v>
      </c>
      <c r="B36" s="74" t="s">
        <v>1264</v>
      </c>
      <c r="C36" s="74" t="s">
        <v>479</v>
      </c>
      <c r="D36" s="95" t="s">
        <v>1344</v>
      </c>
      <c r="E36" s="85" t="s">
        <v>485</v>
      </c>
      <c r="G36" s="85" t="s">
        <v>1346</v>
      </c>
      <c r="H36" s="86" t="s">
        <v>1267</v>
      </c>
      <c r="M36" s="117"/>
      <c r="N36" s="86" t="s">
        <v>1270</v>
      </c>
      <c r="P36" s="74" t="s">
        <v>1271</v>
      </c>
      <c r="R36" s="93"/>
    </row>
    <row r="37" spans="1:18">
      <c r="A37" s="79" t="s">
        <v>743</v>
      </c>
      <c r="B37" s="75" t="s">
        <v>1264</v>
      </c>
      <c r="C37" s="75" t="s">
        <v>614</v>
      </c>
      <c r="D37" s="79" t="s">
        <v>1353</v>
      </c>
      <c r="E37" s="88" t="s">
        <v>1354</v>
      </c>
      <c r="F37" s="88" t="s">
        <v>1355</v>
      </c>
      <c r="G37" s="88" t="s">
        <v>7</v>
      </c>
      <c r="H37" s="77" t="s">
        <v>1299</v>
      </c>
      <c r="I37" s="77" t="s">
        <v>1322</v>
      </c>
      <c r="J37" s="77"/>
      <c r="K37" s="88" t="s">
        <v>1356</v>
      </c>
      <c r="L37" s="79" t="s">
        <v>1357</v>
      </c>
      <c r="M37" s="87"/>
      <c r="N37" s="77" t="s">
        <v>1270</v>
      </c>
      <c r="O37" s="88"/>
      <c r="P37" s="74" t="s">
        <v>1271</v>
      </c>
      <c r="R37" s="93"/>
    </row>
    <row r="38" spans="1:18">
      <c r="A38" s="79" t="s">
        <v>758</v>
      </c>
      <c r="B38" s="75" t="s">
        <v>1264</v>
      </c>
      <c r="C38" s="75" t="s">
        <v>486</v>
      </c>
      <c r="D38" s="79" t="s">
        <v>1358</v>
      </c>
      <c r="E38" s="88" t="s">
        <v>1359</v>
      </c>
      <c r="F38" s="88" t="s">
        <v>760</v>
      </c>
      <c r="G38" s="88" t="s">
        <v>83</v>
      </c>
      <c r="H38" s="77" t="s">
        <v>1283</v>
      </c>
      <c r="I38" s="77"/>
      <c r="J38" s="77"/>
      <c r="K38" s="88" t="s">
        <v>1360</v>
      </c>
      <c r="L38" s="79" t="s">
        <v>1361</v>
      </c>
      <c r="M38" s="87"/>
      <c r="N38" s="77" t="s">
        <v>1270</v>
      </c>
      <c r="O38" s="88"/>
      <c r="P38" s="74" t="s">
        <v>1271</v>
      </c>
      <c r="R38" s="93"/>
    </row>
    <row r="39" spans="1:18">
      <c r="A39" s="79" t="s">
        <v>763</v>
      </c>
      <c r="B39" s="75" t="s">
        <v>1264</v>
      </c>
      <c r="C39" s="75" t="s">
        <v>486</v>
      </c>
      <c r="D39" s="79" t="s">
        <v>1358</v>
      </c>
      <c r="E39" s="88" t="s">
        <v>487</v>
      </c>
      <c r="F39" s="88" t="s">
        <v>764</v>
      </c>
      <c r="G39" s="88" t="s">
        <v>1266</v>
      </c>
      <c r="H39" s="77" t="s">
        <v>1283</v>
      </c>
      <c r="I39" s="77"/>
      <c r="J39" s="77"/>
      <c r="K39" s="88" t="s">
        <v>1362</v>
      </c>
      <c r="L39" s="79" t="s">
        <v>1363</v>
      </c>
      <c r="M39" s="87"/>
      <c r="N39" s="77" t="s">
        <v>1270</v>
      </c>
      <c r="O39" s="88"/>
      <c r="P39" s="74" t="s">
        <v>1271</v>
      </c>
      <c r="R39" s="93"/>
    </row>
    <row r="40" spans="1:18">
      <c r="A40" s="79" t="s">
        <v>768</v>
      </c>
      <c r="B40" s="75" t="s">
        <v>1264</v>
      </c>
      <c r="C40" s="75" t="s">
        <v>486</v>
      </c>
      <c r="D40" s="79" t="s">
        <v>1358</v>
      </c>
      <c r="E40" s="88" t="s">
        <v>488</v>
      </c>
      <c r="F40" s="88" t="s">
        <v>769</v>
      </c>
      <c r="G40" s="88" t="s">
        <v>7</v>
      </c>
      <c r="H40" s="77" t="s">
        <v>1306</v>
      </c>
      <c r="I40" s="77"/>
      <c r="J40" s="77"/>
      <c r="K40" s="88" t="s">
        <v>1364</v>
      </c>
      <c r="L40" s="79" t="s">
        <v>1365</v>
      </c>
      <c r="M40" s="87"/>
      <c r="N40" s="77" t="s">
        <v>1270</v>
      </c>
      <c r="O40" s="88"/>
      <c r="P40" s="74" t="s">
        <v>1271</v>
      </c>
      <c r="R40" s="93"/>
    </row>
    <row r="41" spans="1:18">
      <c r="A41" s="95" t="s">
        <v>1366</v>
      </c>
      <c r="B41" s="74" t="s">
        <v>1264</v>
      </c>
      <c r="C41" s="74" t="s">
        <v>486</v>
      </c>
      <c r="D41" s="95" t="s">
        <v>1358</v>
      </c>
      <c r="E41" s="85" t="s">
        <v>489</v>
      </c>
      <c r="G41" s="85" t="s">
        <v>1279</v>
      </c>
      <c r="H41" s="86" t="s">
        <v>1303</v>
      </c>
      <c r="M41" s="117"/>
      <c r="N41" s="86" t="s">
        <v>1270</v>
      </c>
      <c r="P41" s="74" t="s">
        <v>1271</v>
      </c>
      <c r="R41" s="93"/>
    </row>
    <row r="42" spans="1:18" ht="28.9">
      <c r="A42" s="79" t="s">
        <v>772</v>
      </c>
      <c r="B42" s="75" t="s">
        <v>1264</v>
      </c>
      <c r="C42" s="75" t="s">
        <v>490</v>
      </c>
      <c r="D42" s="79" t="s">
        <v>1367</v>
      </c>
      <c r="E42" s="88" t="s">
        <v>491</v>
      </c>
      <c r="F42" s="88" t="s">
        <v>773</v>
      </c>
      <c r="G42" s="88" t="s">
        <v>1368</v>
      </c>
      <c r="H42" s="77" t="s">
        <v>1267</v>
      </c>
      <c r="I42" s="77"/>
      <c r="J42" s="77"/>
      <c r="K42" s="88" t="s">
        <v>1369</v>
      </c>
      <c r="L42" s="79" t="s">
        <v>1370</v>
      </c>
      <c r="M42" s="87"/>
      <c r="N42" s="77" t="s">
        <v>1270</v>
      </c>
      <c r="O42" s="88"/>
      <c r="P42" s="74" t="s">
        <v>1271</v>
      </c>
      <c r="R42" s="93"/>
    </row>
    <row r="43" spans="1:18" ht="28.9">
      <c r="A43" s="79" t="s">
        <v>776</v>
      </c>
      <c r="B43" s="75" t="s">
        <v>1264</v>
      </c>
      <c r="C43" s="75" t="s">
        <v>490</v>
      </c>
      <c r="D43" s="79" t="s">
        <v>1367</v>
      </c>
      <c r="E43" s="88" t="s">
        <v>492</v>
      </c>
      <c r="F43" s="88" t="s">
        <v>777</v>
      </c>
      <c r="G43" s="88" t="s">
        <v>1279</v>
      </c>
      <c r="H43" s="77" t="s">
        <v>1306</v>
      </c>
      <c r="I43" s="77"/>
      <c r="J43" s="77"/>
      <c r="K43" s="88" t="s">
        <v>1371</v>
      </c>
      <c r="L43" s="79" t="s">
        <v>1372</v>
      </c>
      <c r="M43" s="87"/>
      <c r="N43" s="77" t="s">
        <v>1270</v>
      </c>
      <c r="O43" s="88"/>
      <c r="P43" s="74" t="s">
        <v>1271</v>
      </c>
      <c r="R43" s="93"/>
    </row>
    <row r="44" spans="1:18">
      <c r="A44" s="95" t="s">
        <v>1373</v>
      </c>
      <c r="B44" s="74" t="s">
        <v>1264</v>
      </c>
      <c r="C44" s="74" t="s">
        <v>490</v>
      </c>
      <c r="D44" s="95" t="s">
        <v>1367</v>
      </c>
      <c r="E44" s="85" t="s">
        <v>493</v>
      </c>
      <c r="G44" s="85" t="s">
        <v>1374</v>
      </c>
      <c r="H44" s="86" t="s">
        <v>1267</v>
      </c>
      <c r="M44" s="117"/>
      <c r="N44" s="86" t="s">
        <v>1270</v>
      </c>
      <c r="P44" s="74" t="s">
        <v>1271</v>
      </c>
      <c r="R44" s="93"/>
    </row>
    <row r="45" spans="1:18">
      <c r="A45" s="95" t="s">
        <v>1375</v>
      </c>
      <c r="B45" s="74" t="s">
        <v>1264</v>
      </c>
      <c r="C45" s="74" t="s">
        <v>490</v>
      </c>
      <c r="D45" s="95" t="s">
        <v>1367</v>
      </c>
      <c r="E45" s="85" t="s">
        <v>1376</v>
      </c>
      <c r="G45" s="85" t="s">
        <v>1374</v>
      </c>
      <c r="H45" s="86" t="s">
        <v>1299</v>
      </c>
      <c r="I45" s="86" t="s">
        <v>1300</v>
      </c>
      <c r="N45" s="86" t="s">
        <v>1270</v>
      </c>
      <c r="P45" s="74" t="s">
        <v>1271</v>
      </c>
      <c r="R45" s="93"/>
    </row>
    <row r="46" spans="1:18" ht="28.9">
      <c r="A46" s="79" t="s">
        <v>780</v>
      </c>
      <c r="B46" s="75" t="s">
        <v>1264</v>
      </c>
      <c r="C46" s="75" t="s">
        <v>494</v>
      </c>
      <c r="D46" s="79" t="s">
        <v>1377</v>
      </c>
      <c r="E46" s="88" t="s">
        <v>495</v>
      </c>
      <c r="F46" s="88" t="s">
        <v>1378</v>
      </c>
      <c r="G46" s="88" t="s">
        <v>1272</v>
      </c>
      <c r="H46" s="77" t="s">
        <v>1283</v>
      </c>
      <c r="I46" s="77"/>
      <c r="J46" s="77"/>
      <c r="K46" s="88" t="s">
        <v>1379</v>
      </c>
      <c r="L46" s="79" t="s">
        <v>1380</v>
      </c>
      <c r="M46" s="87"/>
      <c r="N46" s="77" t="s">
        <v>1270</v>
      </c>
      <c r="O46" s="88"/>
      <c r="P46" s="74" t="s">
        <v>1271</v>
      </c>
      <c r="R46" s="93"/>
    </row>
    <row r="47" spans="1:18">
      <c r="A47" s="79" t="s">
        <v>784</v>
      </c>
      <c r="B47" s="75" t="s">
        <v>1264</v>
      </c>
      <c r="C47" s="75" t="s">
        <v>494</v>
      </c>
      <c r="D47" s="79" t="s">
        <v>1377</v>
      </c>
      <c r="E47" s="88" t="s">
        <v>1381</v>
      </c>
      <c r="F47" s="88" t="s">
        <v>786</v>
      </c>
      <c r="G47" s="88" t="s">
        <v>83</v>
      </c>
      <c r="H47" s="77" t="s">
        <v>1283</v>
      </c>
      <c r="I47" s="77"/>
      <c r="J47" s="77"/>
      <c r="K47" s="88" t="s">
        <v>1382</v>
      </c>
      <c r="L47" s="79" t="s">
        <v>1383</v>
      </c>
      <c r="M47" s="88"/>
      <c r="N47" s="77" t="s">
        <v>1270</v>
      </c>
      <c r="O47" s="88"/>
      <c r="P47" s="74" t="s">
        <v>1271</v>
      </c>
      <c r="R47" s="93"/>
    </row>
    <row r="48" spans="1:18">
      <c r="A48" s="79" t="s">
        <v>788</v>
      </c>
      <c r="B48" s="75" t="s">
        <v>1264</v>
      </c>
      <c r="C48" s="75" t="s">
        <v>494</v>
      </c>
      <c r="D48" s="79" t="s">
        <v>1377</v>
      </c>
      <c r="E48" s="88" t="s">
        <v>789</v>
      </c>
      <c r="F48" s="88" t="s">
        <v>1384</v>
      </c>
      <c r="G48" s="88" t="s">
        <v>83</v>
      </c>
      <c r="H48" s="77" t="s">
        <v>1283</v>
      </c>
      <c r="I48" s="77"/>
      <c r="J48" s="77"/>
      <c r="K48" s="88" t="s">
        <v>1385</v>
      </c>
      <c r="L48" s="79" t="s">
        <v>1296</v>
      </c>
      <c r="M48" s="87"/>
      <c r="N48" s="77" t="s">
        <v>1270</v>
      </c>
      <c r="O48" s="88"/>
      <c r="P48" s="74" t="s">
        <v>1271</v>
      </c>
      <c r="R48" s="93"/>
    </row>
    <row r="49" spans="1:18">
      <c r="A49" s="79" t="s">
        <v>793</v>
      </c>
      <c r="B49" s="75" t="s">
        <v>1264</v>
      </c>
      <c r="C49" s="75" t="s">
        <v>496</v>
      </c>
      <c r="D49" s="79" t="s">
        <v>1386</v>
      </c>
      <c r="E49" s="88" t="s">
        <v>497</v>
      </c>
      <c r="F49" s="88" t="s">
        <v>795</v>
      </c>
      <c r="G49" s="88" t="s">
        <v>1374</v>
      </c>
      <c r="H49" s="77" t="s">
        <v>1267</v>
      </c>
      <c r="I49" s="77"/>
      <c r="J49" s="77"/>
      <c r="K49" s="88" t="s">
        <v>1387</v>
      </c>
      <c r="L49" s="79" t="s">
        <v>1388</v>
      </c>
      <c r="M49" s="87"/>
      <c r="N49" s="77" t="s">
        <v>1270</v>
      </c>
      <c r="O49" s="88"/>
      <c r="P49" s="74" t="s">
        <v>1271</v>
      </c>
      <c r="R49" s="93"/>
    </row>
    <row r="50" spans="1:18" ht="28.9">
      <c r="A50" s="79" t="s">
        <v>799</v>
      </c>
      <c r="B50" s="75" t="s">
        <v>1264</v>
      </c>
      <c r="C50" s="75" t="s">
        <v>498</v>
      </c>
      <c r="D50" s="79" t="s">
        <v>1389</v>
      </c>
      <c r="E50" s="88" t="s">
        <v>499</v>
      </c>
      <c r="F50" s="88" t="s">
        <v>801</v>
      </c>
      <c r="G50" s="88" t="s">
        <v>1374</v>
      </c>
      <c r="H50" s="77" t="s">
        <v>1283</v>
      </c>
      <c r="I50" s="77"/>
      <c r="J50" s="77"/>
      <c r="K50" s="88" t="s">
        <v>1390</v>
      </c>
      <c r="L50" s="79" t="s">
        <v>1391</v>
      </c>
      <c r="M50" s="87"/>
      <c r="N50" s="77" t="s">
        <v>1270</v>
      </c>
      <c r="O50" s="88"/>
      <c r="P50" s="74" t="s">
        <v>1271</v>
      </c>
      <c r="R50" s="93"/>
    </row>
    <row r="51" spans="1:18" ht="28.9">
      <c r="A51" s="79" t="s">
        <v>804</v>
      </c>
      <c r="B51" s="75" t="s">
        <v>1264</v>
      </c>
      <c r="C51" s="75" t="s">
        <v>615</v>
      </c>
      <c r="D51" s="79" t="s">
        <v>1392</v>
      </c>
      <c r="E51" s="88" t="s">
        <v>1393</v>
      </c>
      <c r="F51" s="88" t="s">
        <v>806</v>
      </c>
      <c r="G51" s="88" t="s">
        <v>1272</v>
      </c>
      <c r="H51" s="77" t="s">
        <v>1303</v>
      </c>
      <c r="I51" s="77"/>
      <c r="J51" s="77"/>
      <c r="K51" s="88" t="s">
        <v>1394</v>
      </c>
      <c r="L51" s="79" t="s">
        <v>1395</v>
      </c>
      <c r="M51" s="87"/>
      <c r="N51" s="77" t="s">
        <v>1270</v>
      </c>
      <c r="O51" s="88"/>
      <c r="P51" s="74" t="s">
        <v>1271</v>
      </c>
      <c r="R51" s="93"/>
    </row>
    <row r="52" spans="1:18">
      <c r="A52" s="95" t="s">
        <v>1396</v>
      </c>
      <c r="B52" s="74" t="s">
        <v>1264</v>
      </c>
      <c r="C52" s="74" t="s">
        <v>615</v>
      </c>
      <c r="D52" s="95" t="s">
        <v>1392</v>
      </c>
      <c r="E52" s="85" t="s">
        <v>1397</v>
      </c>
      <c r="G52" s="85" t="s">
        <v>83</v>
      </c>
      <c r="H52" s="86" t="s">
        <v>1303</v>
      </c>
      <c r="M52" s="117"/>
      <c r="N52" s="86" t="s">
        <v>1270</v>
      </c>
      <c r="P52" s="74" t="s">
        <v>1271</v>
      </c>
      <c r="R52" s="93"/>
    </row>
    <row r="53" spans="1:18">
      <c r="A53" s="79" t="s">
        <v>809</v>
      </c>
      <c r="B53" s="75" t="s">
        <v>1264</v>
      </c>
      <c r="C53" s="75" t="s">
        <v>616</v>
      </c>
      <c r="D53" s="79" t="s">
        <v>1398</v>
      </c>
      <c r="E53" s="88" t="s">
        <v>810</v>
      </c>
      <c r="F53" s="88" t="s">
        <v>811</v>
      </c>
      <c r="G53" s="88" t="s">
        <v>83</v>
      </c>
      <c r="H53" s="77" t="s">
        <v>1303</v>
      </c>
      <c r="I53" s="77"/>
      <c r="J53" s="77"/>
      <c r="K53" s="88" t="s">
        <v>1399</v>
      </c>
      <c r="L53" s="79" t="s">
        <v>1400</v>
      </c>
      <c r="M53" s="87"/>
      <c r="N53" s="77" t="s">
        <v>1270</v>
      </c>
      <c r="O53" s="88"/>
      <c r="P53" s="74" t="s">
        <v>1271</v>
      </c>
      <c r="R53" s="93"/>
    </row>
    <row r="54" spans="1:18">
      <c r="A54" s="79" t="s">
        <v>814</v>
      </c>
      <c r="B54" s="75" t="s">
        <v>1264</v>
      </c>
      <c r="C54" s="75" t="s">
        <v>500</v>
      </c>
      <c r="D54" s="79" t="s">
        <v>1401</v>
      </c>
      <c r="E54" s="88" t="s">
        <v>815</v>
      </c>
      <c r="F54" s="88" t="s">
        <v>816</v>
      </c>
      <c r="G54" s="88" t="s">
        <v>83</v>
      </c>
      <c r="H54" s="77" t="s">
        <v>1303</v>
      </c>
      <c r="I54" s="77"/>
      <c r="J54" s="77"/>
      <c r="K54" s="88" t="s">
        <v>1402</v>
      </c>
      <c r="L54" s="79" t="s">
        <v>1278</v>
      </c>
      <c r="M54" s="87"/>
      <c r="N54" s="77" t="s">
        <v>1270</v>
      </c>
      <c r="O54" s="88"/>
      <c r="P54" s="74" t="s">
        <v>1271</v>
      </c>
      <c r="R54" s="93"/>
    </row>
    <row r="55" spans="1:18" ht="28.9">
      <c r="A55" s="79" t="s">
        <v>819</v>
      </c>
      <c r="B55" s="75" t="s">
        <v>1264</v>
      </c>
      <c r="C55" s="75" t="s">
        <v>500</v>
      </c>
      <c r="D55" s="79" t="s">
        <v>1401</v>
      </c>
      <c r="E55" s="88" t="s">
        <v>501</v>
      </c>
      <c r="F55" s="88"/>
      <c r="G55" s="88" t="s">
        <v>85</v>
      </c>
      <c r="H55" s="77" t="s">
        <v>1267</v>
      </c>
      <c r="I55" s="77"/>
      <c r="J55" s="77"/>
      <c r="K55" s="88"/>
      <c r="L55" s="79" t="s">
        <v>1403</v>
      </c>
      <c r="M55" s="87"/>
      <c r="N55" s="77" t="s">
        <v>1270</v>
      </c>
      <c r="O55" s="88"/>
      <c r="P55" s="74" t="s">
        <v>1271</v>
      </c>
      <c r="R55" s="93"/>
    </row>
    <row r="56" spans="1:18">
      <c r="A56" s="79" t="s">
        <v>824</v>
      </c>
      <c r="B56" s="75" t="s">
        <v>1264</v>
      </c>
      <c r="C56" s="75" t="s">
        <v>502</v>
      </c>
      <c r="D56" s="79" t="s">
        <v>1404</v>
      </c>
      <c r="E56" s="88" t="s">
        <v>503</v>
      </c>
      <c r="F56" s="88" t="s">
        <v>1405</v>
      </c>
      <c r="G56" s="88" t="s">
        <v>7</v>
      </c>
      <c r="H56" s="77" t="s">
        <v>1303</v>
      </c>
      <c r="I56" s="77"/>
      <c r="J56" s="77"/>
      <c r="K56" s="88" t="s">
        <v>1406</v>
      </c>
      <c r="L56" s="79" t="s">
        <v>1407</v>
      </c>
      <c r="M56" s="87"/>
      <c r="N56" s="77" t="s">
        <v>1270</v>
      </c>
      <c r="O56" s="88"/>
      <c r="P56" s="74" t="s">
        <v>1271</v>
      </c>
      <c r="R56" s="93"/>
    </row>
    <row r="57" spans="1:18">
      <c r="A57" s="79" t="s">
        <v>829</v>
      </c>
      <c r="B57" s="75" t="s">
        <v>1264</v>
      </c>
      <c r="C57" s="75" t="s">
        <v>504</v>
      </c>
      <c r="D57" s="79" t="s">
        <v>1408</v>
      </c>
      <c r="E57" s="88" t="s">
        <v>505</v>
      </c>
      <c r="F57" s="88" t="s">
        <v>831</v>
      </c>
      <c r="G57" s="88" t="s">
        <v>1409</v>
      </c>
      <c r="H57" s="77" t="s">
        <v>1303</v>
      </c>
      <c r="I57" s="77"/>
      <c r="J57" s="77"/>
      <c r="K57" s="88" t="s">
        <v>1410</v>
      </c>
      <c r="L57" s="79" t="s">
        <v>1411</v>
      </c>
      <c r="M57" s="87"/>
      <c r="N57" s="77" t="s">
        <v>1270</v>
      </c>
      <c r="O57" s="88"/>
      <c r="P57" s="74" t="s">
        <v>1271</v>
      </c>
      <c r="R57" s="93"/>
    </row>
    <row r="58" spans="1:18">
      <c r="A58" s="79" t="s">
        <v>834</v>
      </c>
      <c r="B58" s="75" t="s">
        <v>1264</v>
      </c>
      <c r="C58" s="75" t="s">
        <v>506</v>
      </c>
      <c r="D58" s="79" t="s">
        <v>1412</v>
      </c>
      <c r="E58" s="88" t="s">
        <v>507</v>
      </c>
      <c r="F58" s="88" t="s">
        <v>835</v>
      </c>
      <c r="G58" s="88" t="s">
        <v>85</v>
      </c>
      <c r="H58" s="77" t="s">
        <v>1303</v>
      </c>
      <c r="I58" s="77"/>
      <c r="J58" s="77"/>
      <c r="K58" s="88" t="s">
        <v>1413</v>
      </c>
      <c r="L58" s="79" t="s">
        <v>1414</v>
      </c>
      <c r="M58" s="87"/>
      <c r="N58" s="77" t="s">
        <v>1270</v>
      </c>
      <c r="O58" s="88"/>
      <c r="P58" s="74" t="s">
        <v>1271</v>
      </c>
      <c r="R58" s="93"/>
    </row>
    <row r="59" spans="1:18" ht="28.9">
      <c r="A59" s="79" t="s">
        <v>838</v>
      </c>
      <c r="B59" s="75" t="s">
        <v>1264</v>
      </c>
      <c r="C59" s="75" t="s">
        <v>617</v>
      </c>
      <c r="D59" s="79" t="s">
        <v>1415</v>
      </c>
      <c r="E59" s="88" t="s">
        <v>1416</v>
      </c>
      <c r="F59" s="88" t="s">
        <v>1417</v>
      </c>
      <c r="G59" s="88" t="s">
        <v>83</v>
      </c>
      <c r="H59" s="77" t="s">
        <v>1267</v>
      </c>
      <c r="I59" s="77"/>
      <c r="J59" s="77"/>
      <c r="K59" s="88" t="s">
        <v>1418</v>
      </c>
      <c r="L59" s="79" t="s">
        <v>1278</v>
      </c>
      <c r="M59" s="122"/>
      <c r="N59" s="77" t="s">
        <v>1270</v>
      </c>
      <c r="O59" s="88"/>
      <c r="P59" s="74" t="s">
        <v>1271</v>
      </c>
      <c r="R59" s="93"/>
    </row>
    <row r="60" spans="1:18">
      <c r="A60" s="95" t="s">
        <v>1419</v>
      </c>
      <c r="B60" s="74" t="s">
        <v>1264</v>
      </c>
      <c r="C60" s="74" t="s">
        <v>617</v>
      </c>
      <c r="D60" s="95" t="s">
        <v>1415</v>
      </c>
      <c r="E60" s="85" t="s">
        <v>1420</v>
      </c>
      <c r="G60" s="85" t="s">
        <v>83</v>
      </c>
      <c r="H60" s="86" t="s">
        <v>1303</v>
      </c>
      <c r="M60" s="117"/>
      <c r="N60" s="86" t="s">
        <v>1270</v>
      </c>
      <c r="P60" s="74" t="s">
        <v>1271</v>
      </c>
      <c r="R60" s="93"/>
    </row>
    <row r="61" spans="1:18" ht="28.9">
      <c r="A61" s="79" t="s">
        <v>843</v>
      </c>
      <c r="B61" s="75" t="s">
        <v>1421</v>
      </c>
      <c r="C61" s="75" t="s">
        <v>508</v>
      </c>
      <c r="D61" s="79" t="s">
        <v>1422</v>
      </c>
      <c r="E61" s="88" t="s">
        <v>509</v>
      </c>
      <c r="F61" s="88" t="s">
        <v>1423</v>
      </c>
      <c r="G61" s="88" t="s">
        <v>1424</v>
      </c>
      <c r="H61" s="77" t="s">
        <v>1303</v>
      </c>
      <c r="I61" s="77"/>
      <c r="J61" s="77"/>
      <c r="K61" s="88" t="s">
        <v>1425</v>
      </c>
      <c r="L61" s="79" t="s">
        <v>1426</v>
      </c>
      <c r="M61" s="87"/>
      <c r="N61" s="77" t="s">
        <v>1270</v>
      </c>
      <c r="O61" s="88"/>
      <c r="P61" s="74" t="s">
        <v>1271</v>
      </c>
      <c r="R61" s="93"/>
    </row>
    <row r="62" spans="1:18">
      <c r="A62" s="95" t="s">
        <v>1427</v>
      </c>
      <c r="B62" s="74" t="s">
        <v>1421</v>
      </c>
      <c r="C62" s="74" t="s">
        <v>508</v>
      </c>
      <c r="D62" s="95" t="s">
        <v>1422</v>
      </c>
      <c r="E62" s="85" t="s">
        <v>1428</v>
      </c>
      <c r="G62" s="85" t="s">
        <v>83</v>
      </c>
      <c r="H62" s="86" t="s">
        <v>1303</v>
      </c>
      <c r="M62" s="117"/>
      <c r="N62" s="86" t="s">
        <v>1270</v>
      </c>
      <c r="P62" s="74" t="s">
        <v>1271</v>
      </c>
      <c r="R62" s="93"/>
    </row>
    <row r="63" spans="1:18">
      <c r="A63" s="95" t="s">
        <v>1429</v>
      </c>
      <c r="B63" s="74" t="s">
        <v>1421</v>
      </c>
      <c r="C63" s="74" t="s">
        <v>508</v>
      </c>
      <c r="D63" s="95" t="s">
        <v>1422</v>
      </c>
      <c r="E63" s="85" t="s">
        <v>510</v>
      </c>
      <c r="G63" s="85" t="s">
        <v>1368</v>
      </c>
      <c r="H63" s="86" t="s">
        <v>1303</v>
      </c>
      <c r="M63" s="117"/>
      <c r="N63" s="86" t="s">
        <v>1270</v>
      </c>
      <c r="P63" s="74" t="s">
        <v>1271</v>
      </c>
      <c r="R63" s="93"/>
    </row>
    <row r="64" spans="1:18">
      <c r="A64" s="95" t="s">
        <v>1430</v>
      </c>
      <c r="B64" s="74" t="s">
        <v>1421</v>
      </c>
      <c r="C64" s="74" t="s">
        <v>508</v>
      </c>
      <c r="D64" s="95" t="s">
        <v>1422</v>
      </c>
      <c r="E64" s="85" t="s">
        <v>511</v>
      </c>
      <c r="G64" s="85" t="s">
        <v>1266</v>
      </c>
      <c r="H64" s="86" t="s">
        <v>1303</v>
      </c>
      <c r="M64" s="117"/>
      <c r="N64" s="86" t="s">
        <v>1270</v>
      </c>
      <c r="P64" s="74" t="s">
        <v>1271</v>
      </c>
      <c r="R64" s="93"/>
    </row>
    <row r="65" spans="1:18" ht="28.9">
      <c r="A65" s="79" t="s">
        <v>847</v>
      </c>
      <c r="B65" s="75" t="s">
        <v>1421</v>
      </c>
      <c r="C65" s="75" t="s">
        <v>618</v>
      </c>
      <c r="D65" s="79" t="s">
        <v>1431</v>
      </c>
      <c r="E65" s="88" t="s">
        <v>848</v>
      </c>
      <c r="F65" s="88" t="s">
        <v>849</v>
      </c>
      <c r="G65" s="88" t="s">
        <v>1286</v>
      </c>
      <c r="H65" s="77" t="s">
        <v>1299</v>
      </c>
      <c r="I65" s="77" t="s">
        <v>1300</v>
      </c>
      <c r="J65" s="77"/>
      <c r="K65" s="88" t="s">
        <v>1432</v>
      </c>
      <c r="L65" s="79" t="s">
        <v>1433</v>
      </c>
      <c r="M65" s="10"/>
      <c r="N65" s="77" t="s">
        <v>1270</v>
      </c>
      <c r="O65" s="88"/>
      <c r="P65" s="74" t="s">
        <v>1271</v>
      </c>
      <c r="R65" s="93"/>
    </row>
    <row r="66" spans="1:18">
      <c r="A66" s="95" t="s">
        <v>1434</v>
      </c>
      <c r="B66" s="74" t="s">
        <v>1421</v>
      </c>
      <c r="C66" s="74" t="s">
        <v>618</v>
      </c>
      <c r="D66" s="95" t="s">
        <v>1431</v>
      </c>
      <c r="E66" s="85" t="s">
        <v>1435</v>
      </c>
      <c r="G66" s="85" t="s">
        <v>83</v>
      </c>
      <c r="H66" s="86" t="s">
        <v>1303</v>
      </c>
      <c r="M66" s="117"/>
      <c r="N66" s="86" t="s">
        <v>1270</v>
      </c>
      <c r="P66" s="74" t="s">
        <v>1271</v>
      </c>
      <c r="R66" s="93"/>
    </row>
    <row r="67" spans="1:18" ht="28.9">
      <c r="A67" s="79" t="s">
        <v>852</v>
      </c>
      <c r="B67" s="75" t="s">
        <v>1421</v>
      </c>
      <c r="C67" s="75" t="s">
        <v>512</v>
      </c>
      <c r="D67" s="79" t="s">
        <v>1436</v>
      </c>
      <c r="E67" s="88" t="s">
        <v>513</v>
      </c>
      <c r="F67" s="88" t="s">
        <v>1437</v>
      </c>
      <c r="G67" s="88" t="s">
        <v>7</v>
      </c>
      <c r="H67" s="77" t="s">
        <v>1306</v>
      </c>
      <c r="I67" s="77"/>
      <c r="J67" s="77"/>
      <c r="K67" s="88" t="s">
        <v>1438</v>
      </c>
      <c r="L67" s="79" t="s">
        <v>1439</v>
      </c>
      <c r="M67" s="122"/>
      <c r="N67" s="77" t="s">
        <v>1270</v>
      </c>
      <c r="O67" s="88"/>
      <c r="P67" s="74" t="s">
        <v>1271</v>
      </c>
      <c r="R67" s="93"/>
    </row>
    <row r="68" spans="1:18">
      <c r="A68" s="95" t="s">
        <v>1440</v>
      </c>
      <c r="B68" s="74" t="s">
        <v>1421</v>
      </c>
      <c r="C68" s="74" t="s">
        <v>512</v>
      </c>
      <c r="D68" s="95" t="s">
        <v>1436</v>
      </c>
      <c r="E68" s="85" t="s">
        <v>514</v>
      </c>
      <c r="G68" s="85" t="s">
        <v>1374</v>
      </c>
      <c r="H68" s="86" t="s">
        <v>1303</v>
      </c>
      <c r="M68" s="117"/>
      <c r="N68" s="86" t="s">
        <v>1270</v>
      </c>
      <c r="P68" s="74" t="s">
        <v>1271</v>
      </c>
      <c r="R68" s="93"/>
    </row>
    <row r="69" spans="1:18">
      <c r="A69" s="95" t="s">
        <v>1441</v>
      </c>
      <c r="B69" s="74" t="s">
        <v>1421</v>
      </c>
      <c r="C69" s="74" t="s">
        <v>512</v>
      </c>
      <c r="D69" s="95" t="s">
        <v>1436</v>
      </c>
      <c r="E69" s="85" t="s">
        <v>1442</v>
      </c>
      <c r="G69" s="85" t="s">
        <v>7</v>
      </c>
      <c r="H69" s="86" t="s">
        <v>1299</v>
      </c>
      <c r="I69" s="86" t="s">
        <v>1300</v>
      </c>
      <c r="M69" s="117"/>
      <c r="N69" s="86" t="s">
        <v>1270</v>
      </c>
      <c r="P69" s="74" t="s">
        <v>1271</v>
      </c>
      <c r="R69" s="93"/>
    </row>
    <row r="70" spans="1:18">
      <c r="A70" s="95" t="s">
        <v>1443</v>
      </c>
      <c r="B70" s="74" t="s">
        <v>1421</v>
      </c>
      <c r="C70" s="74" t="s">
        <v>512</v>
      </c>
      <c r="D70" s="95" t="s">
        <v>1436</v>
      </c>
      <c r="E70" s="85" t="s">
        <v>515</v>
      </c>
      <c r="G70" s="85" t="s">
        <v>7</v>
      </c>
      <c r="H70" s="86" t="s">
        <v>1306</v>
      </c>
      <c r="M70" s="120"/>
      <c r="N70" s="86" t="s">
        <v>1270</v>
      </c>
      <c r="P70" s="74" t="s">
        <v>1271</v>
      </c>
      <c r="R70" s="93"/>
    </row>
    <row r="71" spans="1:18">
      <c r="A71" s="95" t="s">
        <v>1444</v>
      </c>
      <c r="B71" s="74" t="s">
        <v>1421</v>
      </c>
      <c r="C71" s="74" t="s">
        <v>512</v>
      </c>
      <c r="D71" s="95" t="s">
        <v>1436</v>
      </c>
      <c r="E71" s="85" t="s">
        <v>516</v>
      </c>
      <c r="G71" s="85" t="s">
        <v>7</v>
      </c>
      <c r="H71" s="86" t="s">
        <v>1306</v>
      </c>
      <c r="M71" s="117"/>
      <c r="N71" s="86" t="s">
        <v>1270</v>
      </c>
      <c r="P71" s="74" t="s">
        <v>1271</v>
      </c>
      <c r="R71" s="93"/>
    </row>
    <row r="72" spans="1:18">
      <c r="A72" s="95" t="s">
        <v>1445</v>
      </c>
      <c r="B72" s="74" t="s">
        <v>1421</v>
      </c>
      <c r="C72" s="74" t="s">
        <v>512</v>
      </c>
      <c r="D72" s="95" t="s">
        <v>1436</v>
      </c>
      <c r="E72" s="85" t="s">
        <v>517</v>
      </c>
      <c r="G72" s="85" t="s">
        <v>7</v>
      </c>
      <c r="H72" s="86" t="s">
        <v>1303</v>
      </c>
      <c r="M72" s="117"/>
      <c r="N72" s="86" t="s">
        <v>1270</v>
      </c>
      <c r="P72" s="74" t="s">
        <v>1271</v>
      </c>
      <c r="R72" s="93"/>
    </row>
    <row r="73" spans="1:18">
      <c r="A73" s="95" t="s">
        <v>1446</v>
      </c>
      <c r="B73" s="74" t="s">
        <v>1421</v>
      </c>
      <c r="C73" s="74" t="s">
        <v>512</v>
      </c>
      <c r="D73" s="95" t="s">
        <v>1436</v>
      </c>
      <c r="E73" s="85" t="s">
        <v>1447</v>
      </c>
      <c r="G73" s="85" t="s">
        <v>7</v>
      </c>
      <c r="H73" s="86" t="s">
        <v>1299</v>
      </c>
      <c r="I73" s="86" t="s">
        <v>1300</v>
      </c>
      <c r="M73" s="121"/>
      <c r="N73" s="86" t="s">
        <v>1270</v>
      </c>
      <c r="P73" s="74" t="s">
        <v>1271</v>
      </c>
      <c r="R73" s="93"/>
    </row>
    <row r="74" spans="1:18">
      <c r="A74" s="95" t="s">
        <v>1448</v>
      </c>
      <c r="B74" s="74" t="s">
        <v>1421</v>
      </c>
      <c r="C74" s="74" t="s">
        <v>512</v>
      </c>
      <c r="D74" s="95" t="s">
        <v>1436</v>
      </c>
      <c r="E74" s="85" t="s">
        <v>518</v>
      </c>
      <c r="G74" s="85" t="s">
        <v>7</v>
      </c>
      <c r="H74" s="86" t="s">
        <v>1306</v>
      </c>
      <c r="M74" s="117"/>
      <c r="N74" s="86" t="s">
        <v>1270</v>
      </c>
      <c r="P74" s="74" t="s">
        <v>1271</v>
      </c>
      <c r="R74" s="93"/>
    </row>
    <row r="75" spans="1:18">
      <c r="A75" s="95" t="s">
        <v>1449</v>
      </c>
      <c r="B75" s="74" t="s">
        <v>1421</v>
      </c>
      <c r="C75" s="74" t="s">
        <v>512</v>
      </c>
      <c r="D75" s="95" t="s">
        <v>1436</v>
      </c>
      <c r="E75" s="85" t="s">
        <v>519</v>
      </c>
      <c r="G75" s="85" t="s">
        <v>7</v>
      </c>
      <c r="H75" s="86" t="s">
        <v>1306</v>
      </c>
      <c r="M75" s="117"/>
      <c r="N75" s="86" t="s">
        <v>1270</v>
      </c>
      <c r="P75" s="74" t="s">
        <v>1271</v>
      </c>
    </row>
    <row r="76" spans="1:18">
      <c r="A76" s="95" t="s">
        <v>1450</v>
      </c>
      <c r="B76" s="74" t="s">
        <v>1421</v>
      </c>
      <c r="C76" s="74" t="s">
        <v>512</v>
      </c>
      <c r="D76" s="95" t="s">
        <v>1436</v>
      </c>
      <c r="E76" s="85" t="s">
        <v>520</v>
      </c>
      <c r="G76" s="85" t="s">
        <v>1346</v>
      </c>
      <c r="H76" s="86" t="s">
        <v>1306</v>
      </c>
      <c r="M76" s="10"/>
      <c r="N76" s="86" t="s">
        <v>1270</v>
      </c>
      <c r="P76" s="74" t="s">
        <v>1271</v>
      </c>
    </row>
    <row r="77" spans="1:18">
      <c r="A77" s="95" t="s">
        <v>1451</v>
      </c>
      <c r="B77" s="74" t="s">
        <v>1421</v>
      </c>
      <c r="C77" s="74" t="s">
        <v>512</v>
      </c>
      <c r="D77" s="95" t="s">
        <v>1436</v>
      </c>
      <c r="E77" s="85" t="s">
        <v>521</v>
      </c>
      <c r="G77" s="85" t="s">
        <v>7</v>
      </c>
      <c r="H77" s="86" t="s">
        <v>1303</v>
      </c>
      <c r="M77" s="117"/>
      <c r="N77" s="86" t="s">
        <v>1270</v>
      </c>
      <c r="P77" s="74" t="s">
        <v>1271</v>
      </c>
    </row>
    <row r="78" spans="1:18">
      <c r="A78" s="95" t="s">
        <v>1452</v>
      </c>
      <c r="B78" s="74" t="s">
        <v>1421</v>
      </c>
      <c r="C78" s="74" t="s">
        <v>512</v>
      </c>
      <c r="D78" s="95" t="s">
        <v>1436</v>
      </c>
      <c r="E78" s="85" t="s">
        <v>1453</v>
      </c>
      <c r="G78" s="85" t="s">
        <v>7</v>
      </c>
      <c r="H78" s="86" t="s">
        <v>1299</v>
      </c>
      <c r="I78" s="86" t="s">
        <v>1322</v>
      </c>
      <c r="M78" s="117"/>
      <c r="N78" s="86" t="s">
        <v>1270</v>
      </c>
      <c r="P78" s="74" t="s">
        <v>1271</v>
      </c>
    </row>
    <row r="79" spans="1:18">
      <c r="A79" s="95" t="s">
        <v>1454</v>
      </c>
      <c r="B79" s="74" t="s">
        <v>1421</v>
      </c>
      <c r="C79" s="74" t="s">
        <v>512</v>
      </c>
      <c r="D79" s="95" t="s">
        <v>1436</v>
      </c>
      <c r="E79" s="85" t="s">
        <v>522</v>
      </c>
      <c r="G79" s="85" t="s">
        <v>7</v>
      </c>
      <c r="H79" s="86" t="s">
        <v>1303</v>
      </c>
      <c r="M79" s="10"/>
      <c r="N79" s="86" t="s">
        <v>1270</v>
      </c>
      <c r="P79" s="74" t="s">
        <v>1271</v>
      </c>
    </row>
    <row r="80" spans="1:18" ht="28.9">
      <c r="A80" s="79" t="s">
        <v>857</v>
      </c>
      <c r="B80" s="75" t="s">
        <v>1421</v>
      </c>
      <c r="C80" s="75" t="s">
        <v>523</v>
      </c>
      <c r="D80" s="79" t="s">
        <v>1455</v>
      </c>
      <c r="E80" s="88" t="s">
        <v>524</v>
      </c>
      <c r="F80" s="88" t="s">
        <v>859</v>
      </c>
      <c r="G80" s="88" t="s">
        <v>7</v>
      </c>
      <c r="H80" s="77" t="s">
        <v>1267</v>
      </c>
      <c r="I80" s="77"/>
      <c r="J80" s="77"/>
      <c r="K80" s="88" t="s">
        <v>1456</v>
      </c>
      <c r="L80" s="79" t="s">
        <v>1457</v>
      </c>
      <c r="M80" s="87"/>
      <c r="N80" s="77" t="s">
        <v>1270</v>
      </c>
      <c r="O80" s="88"/>
      <c r="P80" s="74" t="s">
        <v>1271</v>
      </c>
    </row>
    <row r="81" spans="1:16" ht="28.9">
      <c r="A81" s="79" t="s">
        <v>862</v>
      </c>
      <c r="B81" s="75" t="s">
        <v>1421</v>
      </c>
      <c r="C81" s="75" t="s">
        <v>525</v>
      </c>
      <c r="D81" s="79" t="s">
        <v>1458</v>
      </c>
      <c r="E81" s="88" t="s">
        <v>526</v>
      </c>
      <c r="F81" s="88" t="s">
        <v>863</v>
      </c>
      <c r="G81" s="88" t="s">
        <v>1293</v>
      </c>
      <c r="H81" s="77" t="s">
        <v>1306</v>
      </c>
      <c r="I81" s="77"/>
      <c r="J81" s="77"/>
      <c r="K81" s="88" t="s">
        <v>1459</v>
      </c>
      <c r="L81" s="79" t="s">
        <v>1460</v>
      </c>
      <c r="M81" s="118"/>
      <c r="N81" s="77" t="s">
        <v>1270</v>
      </c>
      <c r="O81" s="88"/>
      <c r="P81" s="74" t="s">
        <v>1271</v>
      </c>
    </row>
    <row r="82" spans="1:16" ht="28.9">
      <c r="A82" s="79" t="s">
        <v>866</v>
      </c>
      <c r="B82" s="75" t="s">
        <v>1421</v>
      </c>
      <c r="C82" s="75" t="s">
        <v>527</v>
      </c>
      <c r="D82" s="79" t="s">
        <v>1461</v>
      </c>
      <c r="E82" s="88" t="s">
        <v>528</v>
      </c>
      <c r="F82" s="88" t="s">
        <v>867</v>
      </c>
      <c r="G82" s="88" t="s">
        <v>7</v>
      </c>
      <c r="H82" s="77" t="s">
        <v>1303</v>
      </c>
      <c r="I82" s="77"/>
      <c r="J82" s="77"/>
      <c r="K82" s="88" t="s">
        <v>1462</v>
      </c>
      <c r="L82" s="79" t="s">
        <v>1463</v>
      </c>
      <c r="M82" s="87"/>
      <c r="N82" s="77" t="s">
        <v>1270</v>
      </c>
      <c r="O82" s="88"/>
      <c r="P82" s="74" t="s">
        <v>1271</v>
      </c>
    </row>
    <row r="83" spans="1:16">
      <c r="A83" s="95" t="s">
        <v>1464</v>
      </c>
      <c r="B83" s="74" t="s">
        <v>1421</v>
      </c>
      <c r="C83" s="74" t="s">
        <v>527</v>
      </c>
      <c r="D83" s="95" t="s">
        <v>1461</v>
      </c>
      <c r="E83" s="85" t="s">
        <v>529</v>
      </c>
      <c r="G83" s="85" t="s">
        <v>1286</v>
      </c>
      <c r="H83" s="86" t="s">
        <v>1303</v>
      </c>
      <c r="M83" s="117"/>
      <c r="N83" s="86" t="s">
        <v>1270</v>
      </c>
      <c r="P83" s="74" t="s">
        <v>1271</v>
      </c>
    </row>
    <row r="84" spans="1:16">
      <c r="A84" s="95" t="s">
        <v>1465</v>
      </c>
      <c r="B84" s="74" t="s">
        <v>1421</v>
      </c>
      <c r="C84" s="74" t="s">
        <v>527</v>
      </c>
      <c r="D84" s="95" t="s">
        <v>1461</v>
      </c>
      <c r="E84" s="85" t="s">
        <v>530</v>
      </c>
      <c r="G84" s="85" t="s">
        <v>1279</v>
      </c>
      <c r="H84" s="86" t="s">
        <v>1303</v>
      </c>
      <c r="M84" s="117"/>
      <c r="N84" s="86" t="s">
        <v>1270</v>
      </c>
      <c r="P84" s="74" t="s">
        <v>1271</v>
      </c>
    </row>
    <row r="85" spans="1:16" ht="28.9">
      <c r="A85" s="79" t="s">
        <v>871</v>
      </c>
      <c r="B85" s="75" t="s">
        <v>1421</v>
      </c>
      <c r="C85" s="75" t="s">
        <v>531</v>
      </c>
      <c r="D85" s="79" t="s">
        <v>1466</v>
      </c>
      <c r="E85" s="88" t="s">
        <v>532</v>
      </c>
      <c r="F85" s="88" t="s">
        <v>1467</v>
      </c>
      <c r="G85" s="88" t="s">
        <v>7</v>
      </c>
      <c r="H85" s="77" t="s">
        <v>1267</v>
      </c>
      <c r="I85" s="77"/>
      <c r="J85" s="77"/>
      <c r="K85" s="88" t="s">
        <v>1468</v>
      </c>
      <c r="L85" s="79" t="s">
        <v>1469</v>
      </c>
      <c r="M85" s="118"/>
      <c r="N85" s="77" t="s">
        <v>1270</v>
      </c>
      <c r="O85" s="88"/>
      <c r="P85" s="74" t="s">
        <v>1271</v>
      </c>
    </row>
    <row r="86" spans="1:16">
      <c r="A86" s="95" t="s">
        <v>1470</v>
      </c>
      <c r="B86" s="74" t="s">
        <v>1421</v>
      </c>
      <c r="C86" s="74" t="s">
        <v>531</v>
      </c>
      <c r="D86" s="95" t="s">
        <v>1466</v>
      </c>
      <c r="E86" s="85" t="s">
        <v>533</v>
      </c>
      <c r="G86" s="85" t="s">
        <v>7</v>
      </c>
      <c r="H86" s="86" t="s">
        <v>1267</v>
      </c>
      <c r="M86" s="117"/>
      <c r="N86" s="86" t="s">
        <v>1270</v>
      </c>
      <c r="P86" s="74" t="s">
        <v>1271</v>
      </c>
    </row>
    <row r="87" spans="1:16" ht="28.9">
      <c r="A87" s="79" t="s">
        <v>876</v>
      </c>
      <c r="B87" s="75" t="s">
        <v>1421</v>
      </c>
      <c r="C87" s="75" t="s">
        <v>534</v>
      </c>
      <c r="D87" s="79" t="s">
        <v>47</v>
      </c>
      <c r="E87" s="88" t="s">
        <v>535</v>
      </c>
      <c r="F87" s="88" t="s">
        <v>1471</v>
      </c>
      <c r="G87" s="88" t="s">
        <v>7</v>
      </c>
      <c r="H87" s="77" t="s">
        <v>1267</v>
      </c>
      <c r="I87" s="77"/>
      <c r="J87" s="77"/>
      <c r="K87" s="88" t="s">
        <v>1472</v>
      </c>
      <c r="L87" s="79" t="s">
        <v>1473</v>
      </c>
      <c r="M87" s="87"/>
      <c r="N87" s="77" t="s">
        <v>1270</v>
      </c>
      <c r="O87" s="88"/>
      <c r="P87" s="74" t="s">
        <v>1271</v>
      </c>
    </row>
    <row r="88" spans="1:16" ht="28.9">
      <c r="A88" s="79" t="s">
        <v>882</v>
      </c>
      <c r="B88" s="75" t="s">
        <v>1421</v>
      </c>
      <c r="C88" s="75" t="s">
        <v>619</v>
      </c>
      <c r="D88" s="79" t="s">
        <v>1474</v>
      </c>
      <c r="E88" s="88" t="s">
        <v>1475</v>
      </c>
      <c r="F88" s="88" t="s">
        <v>884</v>
      </c>
      <c r="G88" s="88" t="s">
        <v>7</v>
      </c>
      <c r="H88" s="77" t="s">
        <v>1299</v>
      </c>
      <c r="I88" s="77" t="s">
        <v>1300</v>
      </c>
      <c r="J88" s="77"/>
      <c r="K88" s="88" t="s">
        <v>1476</v>
      </c>
      <c r="L88" s="79" t="s">
        <v>1477</v>
      </c>
      <c r="M88" s="87"/>
      <c r="N88" s="77" t="s">
        <v>1270</v>
      </c>
      <c r="O88" s="88"/>
      <c r="P88" s="74" t="s">
        <v>1271</v>
      </c>
    </row>
    <row r="89" spans="1:16" ht="28.9">
      <c r="A89" s="79" t="s">
        <v>887</v>
      </c>
      <c r="B89" s="75" t="s">
        <v>1478</v>
      </c>
      <c r="C89" s="75" t="s">
        <v>536</v>
      </c>
      <c r="D89" s="79" t="s">
        <v>1479</v>
      </c>
      <c r="E89" s="88" t="s">
        <v>888</v>
      </c>
      <c r="F89" s="88" t="s">
        <v>889</v>
      </c>
      <c r="G89" s="88" t="s">
        <v>83</v>
      </c>
      <c r="H89" s="77" t="s">
        <v>1267</v>
      </c>
      <c r="I89" s="77"/>
      <c r="J89" s="77"/>
      <c r="K89" s="88" t="s">
        <v>1480</v>
      </c>
      <c r="L89" s="79" t="s">
        <v>1481</v>
      </c>
      <c r="M89" s="87"/>
      <c r="N89" s="77" t="s">
        <v>1270</v>
      </c>
      <c r="O89" s="88"/>
      <c r="P89" s="74" t="s">
        <v>1271</v>
      </c>
    </row>
    <row r="90" spans="1:16">
      <c r="A90" s="95" t="s">
        <v>1482</v>
      </c>
      <c r="B90" s="74" t="s">
        <v>1478</v>
      </c>
      <c r="C90" s="74" t="s">
        <v>536</v>
      </c>
      <c r="D90" s="95" t="s">
        <v>1479</v>
      </c>
      <c r="E90" s="85" t="s">
        <v>537</v>
      </c>
      <c r="G90" s="85" t="s">
        <v>7</v>
      </c>
      <c r="H90" s="86" t="s">
        <v>1267</v>
      </c>
      <c r="M90" s="117"/>
      <c r="N90" s="86" t="s">
        <v>1270</v>
      </c>
      <c r="P90" s="74" t="s">
        <v>1271</v>
      </c>
    </row>
    <row r="91" spans="1:16">
      <c r="A91" s="95" t="s">
        <v>1483</v>
      </c>
      <c r="B91" s="74" t="s">
        <v>1478</v>
      </c>
      <c r="C91" s="74" t="s">
        <v>536</v>
      </c>
      <c r="D91" s="95" t="s">
        <v>1479</v>
      </c>
      <c r="E91" s="85" t="s">
        <v>538</v>
      </c>
      <c r="G91" s="85" t="s">
        <v>1272</v>
      </c>
      <c r="H91" s="86" t="s">
        <v>1303</v>
      </c>
      <c r="M91" s="117"/>
      <c r="N91" s="86" t="s">
        <v>1270</v>
      </c>
      <c r="P91" s="74" t="s">
        <v>1271</v>
      </c>
    </row>
    <row r="92" spans="1:16" ht="28.9">
      <c r="A92" s="79" t="s">
        <v>892</v>
      </c>
      <c r="B92" s="75" t="s">
        <v>1478</v>
      </c>
      <c r="C92" s="75" t="s">
        <v>539</v>
      </c>
      <c r="D92" s="79" t="s">
        <v>1479</v>
      </c>
      <c r="E92" s="88" t="s">
        <v>540</v>
      </c>
      <c r="F92" s="88" t="s">
        <v>894</v>
      </c>
      <c r="G92" s="88" t="s">
        <v>1272</v>
      </c>
      <c r="H92" s="77" t="s">
        <v>1303</v>
      </c>
      <c r="I92" s="77"/>
      <c r="J92" s="77"/>
      <c r="K92" s="88" t="s">
        <v>1484</v>
      </c>
      <c r="L92" s="79" t="s">
        <v>1485</v>
      </c>
      <c r="M92" s="87"/>
      <c r="N92" s="77" t="s">
        <v>1270</v>
      </c>
      <c r="O92" s="88"/>
      <c r="P92" s="74" t="s">
        <v>1271</v>
      </c>
    </row>
    <row r="93" spans="1:16" ht="28.9">
      <c r="A93" s="79" t="s">
        <v>897</v>
      </c>
      <c r="B93" s="75" t="s">
        <v>1478</v>
      </c>
      <c r="C93" s="75" t="s">
        <v>620</v>
      </c>
      <c r="D93" s="79" t="s">
        <v>1486</v>
      </c>
      <c r="E93" s="88" t="s">
        <v>898</v>
      </c>
      <c r="F93" s="88" t="s">
        <v>899</v>
      </c>
      <c r="G93" s="88" t="s">
        <v>1272</v>
      </c>
      <c r="H93" s="77" t="s">
        <v>1487</v>
      </c>
      <c r="I93" s="77"/>
      <c r="J93" s="77"/>
      <c r="K93" s="88" t="s">
        <v>1488</v>
      </c>
      <c r="L93" s="79" t="s">
        <v>1489</v>
      </c>
      <c r="M93" s="87"/>
      <c r="N93" s="77" t="s">
        <v>1270</v>
      </c>
      <c r="O93" s="88"/>
      <c r="P93" s="74" t="s">
        <v>1271</v>
      </c>
    </row>
    <row r="94" spans="1:16">
      <c r="A94" s="95" t="s">
        <v>1490</v>
      </c>
      <c r="B94" s="74" t="s">
        <v>1478</v>
      </c>
      <c r="C94" s="74" t="s">
        <v>620</v>
      </c>
      <c r="D94" s="95" t="s">
        <v>1486</v>
      </c>
      <c r="E94" s="85" t="s">
        <v>1491</v>
      </c>
      <c r="G94" s="85" t="s">
        <v>7</v>
      </c>
      <c r="H94" s="86" t="s">
        <v>1487</v>
      </c>
      <c r="M94" s="117"/>
      <c r="N94" s="86" t="s">
        <v>1270</v>
      </c>
      <c r="P94" s="74" t="s">
        <v>1271</v>
      </c>
    </row>
    <row r="95" spans="1:16" ht="28.9">
      <c r="A95" s="79" t="s">
        <v>903</v>
      </c>
      <c r="B95" s="75" t="s">
        <v>1478</v>
      </c>
      <c r="C95" s="75" t="s">
        <v>541</v>
      </c>
      <c r="D95" s="79" t="s">
        <v>1492</v>
      </c>
      <c r="E95" s="88" t="s">
        <v>542</v>
      </c>
      <c r="F95" s="88" t="s">
        <v>904</v>
      </c>
      <c r="G95" s="88" t="s">
        <v>1266</v>
      </c>
      <c r="H95" s="77" t="s">
        <v>1303</v>
      </c>
      <c r="I95" s="77"/>
      <c r="J95" s="77"/>
      <c r="K95" s="88" t="s">
        <v>1493</v>
      </c>
      <c r="L95" s="79" t="s">
        <v>1494</v>
      </c>
      <c r="M95" s="87"/>
      <c r="N95" s="77" t="s">
        <v>1270</v>
      </c>
      <c r="O95" s="88"/>
      <c r="P95" s="74" t="s">
        <v>1271</v>
      </c>
    </row>
    <row r="96" spans="1:16">
      <c r="A96" s="95" t="s">
        <v>1495</v>
      </c>
      <c r="B96" s="74" t="s">
        <v>1478</v>
      </c>
      <c r="C96" s="74" t="s">
        <v>541</v>
      </c>
      <c r="D96" s="95" t="s">
        <v>1492</v>
      </c>
      <c r="E96" s="85" t="s">
        <v>543</v>
      </c>
      <c r="G96" s="85" t="s">
        <v>1293</v>
      </c>
      <c r="H96" s="86" t="s">
        <v>1303</v>
      </c>
      <c r="M96" s="117"/>
      <c r="N96" s="86" t="s">
        <v>1270</v>
      </c>
      <c r="P96" s="74" t="s">
        <v>1271</v>
      </c>
    </row>
    <row r="97" spans="1:16">
      <c r="A97" s="95" t="s">
        <v>1496</v>
      </c>
      <c r="B97" s="74" t="s">
        <v>1478</v>
      </c>
      <c r="C97" s="74" t="s">
        <v>541</v>
      </c>
      <c r="D97" s="95" t="s">
        <v>1492</v>
      </c>
      <c r="E97" s="85" t="s">
        <v>544</v>
      </c>
      <c r="G97" s="85" t="s">
        <v>1293</v>
      </c>
      <c r="H97" s="86" t="s">
        <v>1283</v>
      </c>
      <c r="N97" s="86" t="s">
        <v>1270</v>
      </c>
      <c r="P97" s="74" t="s">
        <v>1271</v>
      </c>
    </row>
    <row r="98" spans="1:16">
      <c r="A98" s="95" t="s">
        <v>1497</v>
      </c>
      <c r="B98" s="74" t="s">
        <v>1478</v>
      </c>
      <c r="C98" s="74" t="s">
        <v>541</v>
      </c>
      <c r="D98" s="95" t="s">
        <v>1492</v>
      </c>
      <c r="E98" s="85" t="s">
        <v>545</v>
      </c>
      <c r="G98" s="85" t="s">
        <v>7</v>
      </c>
      <c r="H98" s="86" t="s">
        <v>1267</v>
      </c>
      <c r="N98" s="86" t="s">
        <v>1270</v>
      </c>
      <c r="P98" s="74" t="s">
        <v>1271</v>
      </c>
    </row>
    <row r="99" spans="1:16">
      <c r="A99" s="95" t="s">
        <v>1498</v>
      </c>
      <c r="B99" s="74" t="s">
        <v>1478</v>
      </c>
      <c r="C99" s="74" t="s">
        <v>541</v>
      </c>
      <c r="D99" s="95" t="s">
        <v>1492</v>
      </c>
      <c r="E99" s="85" t="s">
        <v>546</v>
      </c>
      <c r="G99" s="85" t="s">
        <v>1293</v>
      </c>
      <c r="H99" s="86" t="s">
        <v>1303</v>
      </c>
      <c r="N99" s="86" t="s">
        <v>1270</v>
      </c>
      <c r="P99" s="74" t="s">
        <v>1271</v>
      </c>
    </row>
    <row r="100" spans="1:16">
      <c r="A100" s="95" t="s">
        <v>1499</v>
      </c>
      <c r="B100" s="74" t="s">
        <v>1478</v>
      </c>
      <c r="C100" s="74" t="s">
        <v>541</v>
      </c>
      <c r="D100" s="95" t="s">
        <v>1492</v>
      </c>
      <c r="E100" s="85" t="s">
        <v>547</v>
      </c>
      <c r="G100" s="85" t="s">
        <v>1293</v>
      </c>
      <c r="H100" s="86" t="s">
        <v>1303</v>
      </c>
      <c r="M100" s="117"/>
      <c r="N100" s="86" t="s">
        <v>1270</v>
      </c>
      <c r="P100" s="74" t="s">
        <v>1271</v>
      </c>
    </row>
    <row r="101" spans="1:16">
      <c r="A101" s="95" t="s">
        <v>1500</v>
      </c>
      <c r="B101" s="74" t="s">
        <v>1478</v>
      </c>
      <c r="C101" s="74" t="s">
        <v>541</v>
      </c>
      <c r="D101" s="95" t="s">
        <v>1492</v>
      </c>
      <c r="E101" s="85" t="s">
        <v>548</v>
      </c>
      <c r="G101" s="85" t="s">
        <v>1293</v>
      </c>
      <c r="H101" s="86" t="s">
        <v>1303</v>
      </c>
      <c r="M101" s="120"/>
      <c r="N101" s="86" t="s">
        <v>1270</v>
      </c>
      <c r="P101" s="74" t="s">
        <v>1271</v>
      </c>
    </row>
    <row r="102" spans="1:16" ht="28.9">
      <c r="A102" s="79" t="s">
        <v>907</v>
      </c>
      <c r="B102" s="75" t="s">
        <v>1478</v>
      </c>
      <c r="C102" s="75" t="s">
        <v>549</v>
      </c>
      <c r="D102" s="79" t="s">
        <v>1501</v>
      </c>
      <c r="E102" s="88" t="s">
        <v>550</v>
      </c>
      <c r="F102" s="88" t="s">
        <v>1502</v>
      </c>
      <c r="G102" s="88" t="s">
        <v>7</v>
      </c>
      <c r="H102" s="77" t="s">
        <v>1267</v>
      </c>
      <c r="I102" s="77"/>
      <c r="J102" s="77"/>
      <c r="K102" s="88" t="s">
        <v>1503</v>
      </c>
      <c r="L102" s="79" t="s">
        <v>1504</v>
      </c>
      <c r="M102" s="10"/>
      <c r="N102" s="77" t="s">
        <v>1270</v>
      </c>
      <c r="O102" s="88"/>
      <c r="P102" s="74" t="s">
        <v>1271</v>
      </c>
    </row>
    <row r="103" spans="1:16">
      <c r="A103" s="95" t="s">
        <v>1505</v>
      </c>
      <c r="B103" s="74" t="s">
        <v>1478</v>
      </c>
      <c r="C103" s="74" t="s">
        <v>549</v>
      </c>
      <c r="D103" s="95" t="s">
        <v>1501</v>
      </c>
      <c r="E103" s="85" t="s">
        <v>551</v>
      </c>
      <c r="G103" s="85" t="s">
        <v>7</v>
      </c>
      <c r="H103" s="86" t="s">
        <v>1267</v>
      </c>
      <c r="M103" s="117"/>
      <c r="N103" s="86" t="s">
        <v>1270</v>
      </c>
      <c r="P103" s="74" t="s">
        <v>1271</v>
      </c>
    </row>
    <row r="104" spans="1:16" ht="28.9">
      <c r="A104" s="79" t="s">
        <v>912</v>
      </c>
      <c r="B104" s="75" t="s">
        <v>1478</v>
      </c>
      <c r="C104" s="75" t="s">
        <v>621</v>
      </c>
      <c r="D104" s="79" t="s">
        <v>1506</v>
      </c>
      <c r="E104" s="88" t="s">
        <v>1507</v>
      </c>
      <c r="F104" s="88" t="s">
        <v>1508</v>
      </c>
      <c r="G104" s="88" t="s">
        <v>1339</v>
      </c>
      <c r="H104" s="77" t="s">
        <v>1487</v>
      </c>
      <c r="I104" s="77"/>
      <c r="J104" s="94"/>
      <c r="K104" s="88" t="s">
        <v>1509</v>
      </c>
      <c r="L104" s="79" t="s">
        <v>1510</v>
      </c>
      <c r="M104" s="87"/>
      <c r="N104" s="77" t="s">
        <v>1270</v>
      </c>
      <c r="O104" s="88"/>
      <c r="P104" s="74" t="s">
        <v>1271</v>
      </c>
    </row>
    <row r="105" spans="1:16" ht="28.9">
      <c r="A105" s="79" t="s">
        <v>916</v>
      </c>
      <c r="B105" s="75" t="s">
        <v>1478</v>
      </c>
      <c r="C105" s="75" t="s">
        <v>552</v>
      </c>
      <c r="D105" s="79" t="s">
        <v>1511</v>
      </c>
      <c r="E105" s="88" t="s">
        <v>553</v>
      </c>
      <c r="F105" s="88" t="s">
        <v>1512</v>
      </c>
      <c r="G105" s="88" t="s">
        <v>1272</v>
      </c>
      <c r="H105" s="77" t="s">
        <v>1303</v>
      </c>
      <c r="I105" s="77"/>
      <c r="J105" s="77"/>
      <c r="K105" s="88" t="s">
        <v>1513</v>
      </c>
      <c r="L105" s="79" t="s">
        <v>1514</v>
      </c>
      <c r="M105" s="87"/>
      <c r="N105" s="77" t="s">
        <v>1270</v>
      </c>
      <c r="O105" s="88"/>
      <c r="P105" s="74" t="s">
        <v>1271</v>
      </c>
    </row>
    <row r="106" spans="1:16">
      <c r="A106" s="95" t="s">
        <v>1515</v>
      </c>
      <c r="B106" s="74" t="s">
        <v>1478</v>
      </c>
      <c r="C106" s="74" t="s">
        <v>552</v>
      </c>
      <c r="D106" s="95" t="s">
        <v>1511</v>
      </c>
      <c r="E106" s="85" t="s">
        <v>554</v>
      </c>
      <c r="G106" s="85" t="s">
        <v>7</v>
      </c>
      <c r="H106" s="86" t="s">
        <v>1303</v>
      </c>
      <c r="M106" s="117"/>
      <c r="N106" s="86" t="s">
        <v>1270</v>
      </c>
      <c r="P106" s="74" t="s">
        <v>1271</v>
      </c>
    </row>
    <row r="107" spans="1:16">
      <c r="A107" s="95" t="s">
        <v>1516</v>
      </c>
      <c r="B107" s="74" t="s">
        <v>1478</v>
      </c>
      <c r="C107" s="74" t="s">
        <v>552</v>
      </c>
      <c r="D107" s="95" t="s">
        <v>1511</v>
      </c>
      <c r="E107" s="85" t="s">
        <v>555</v>
      </c>
      <c r="G107" s="85" t="s">
        <v>1279</v>
      </c>
      <c r="H107" s="86" t="s">
        <v>1303</v>
      </c>
      <c r="M107" s="117"/>
      <c r="N107" s="86" t="s">
        <v>1270</v>
      </c>
      <c r="P107" s="74" t="s">
        <v>1271</v>
      </c>
    </row>
    <row r="108" spans="1:16">
      <c r="A108" s="95" t="s">
        <v>1517</v>
      </c>
      <c r="B108" s="74" t="s">
        <v>1478</v>
      </c>
      <c r="C108" s="74" t="s">
        <v>552</v>
      </c>
      <c r="D108" s="95" t="s">
        <v>1511</v>
      </c>
      <c r="E108" s="85" t="s">
        <v>556</v>
      </c>
      <c r="G108" s="85" t="s">
        <v>1293</v>
      </c>
      <c r="H108" s="86" t="s">
        <v>1306</v>
      </c>
      <c r="M108" s="117"/>
      <c r="N108" s="86" t="s">
        <v>1270</v>
      </c>
      <c r="P108" s="74" t="s">
        <v>1271</v>
      </c>
    </row>
    <row r="109" spans="1:16" ht="28.9">
      <c r="A109" s="79" t="s">
        <v>921</v>
      </c>
      <c r="B109" s="75" t="s">
        <v>1478</v>
      </c>
      <c r="C109" s="75" t="s">
        <v>557</v>
      </c>
      <c r="D109" s="79" t="s">
        <v>1518</v>
      </c>
      <c r="E109" s="88" t="s">
        <v>558</v>
      </c>
      <c r="F109" s="88" t="s">
        <v>923</v>
      </c>
      <c r="G109" s="88" t="s">
        <v>1272</v>
      </c>
      <c r="H109" s="77" t="s">
        <v>1303</v>
      </c>
      <c r="I109" s="77"/>
      <c r="J109" s="77"/>
      <c r="K109" s="88" t="s">
        <v>1519</v>
      </c>
      <c r="L109" s="79" t="s">
        <v>1520</v>
      </c>
      <c r="M109" s="87"/>
      <c r="N109" s="77" t="s">
        <v>1270</v>
      </c>
      <c r="O109" s="88"/>
      <c r="P109" s="74" t="s">
        <v>1271</v>
      </c>
    </row>
    <row r="110" spans="1:16" ht="28.9">
      <c r="A110" s="79" t="s">
        <v>925</v>
      </c>
      <c r="B110" s="75" t="s">
        <v>1478</v>
      </c>
      <c r="C110" s="75" t="s">
        <v>559</v>
      </c>
      <c r="D110" s="79" t="s">
        <v>1521</v>
      </c>
      <c r="E110" s="88" t="s">
        <v>560</v>
      </c>
      <c r="F110" s="88" t="s">
        <v>926</v>
      </c>
      <c r="G110" s="88" t="s">
        <v>1272</v>
      </c>
      <c r="H110" s="77" t="s">
        <v>1267</v>
      </c>
      <c r="I110" s="77"/>
      <c r="J110" s="77"/>
      <c r="K110" s="88" t="s">
        <v>1522</v>
      </c>
      <c r="L110" s="79" t="s">
        <v>1523</v>
      </c>
      <c r="M110" s="88"/>
      <c r="N110" s="77" t="s">
        <v>1270</v>
      </c>
      <c r="O110" s="88"/>
      <c r="P110" s="74" t="s">
        <v>1271</v>
      </c>
    </row>
    <row r="111" spans="1:16" ht="28.9">
      <c r="A111" s="79" t="s">
        <v>928</v>
      </c>
      <c r="B111" s="75" t="s">
        <v>1478</v>
      </c>
      <c r="C111" s="75" t="s">
        <v>561</v>
      </c>
      <c r="D111" s="79" t="s">
        <v>1521</v>
      </c>
      <c r="E111" s="88" t="s">
        <v>562</v>
      </c>
      <c r="F111" s="88" t="s">
        <v>930</v>
      </c>
      <c r="G111" s="88" t="s">
        <v>1279</v>
      </c>
      <c r="H111" s="77" t="s">
        <v>1303</v>
      </c>
      <c r="I111" s="77"/>
      <c r="J111" s="77"/>
      <c r="K111" s="88" t="s">
        <v>1524</v>
      </c>
      <c r="L111" s="79" t="s">
        <v>1525</v>
      </c>
      <c r="M111" s="87"/>
      <c r="N111" s="77" t="s">
        <v>1270</v>
      </c>
      <c r="O111" s="88"/>
      <c r="P111" s="74" t="s">
        <v>1271</v>
      </c>
    </row>
    <row r="112" spans="1:16">
      <c r="A112" s="95" t="s">
        <v>1526</v>
      </c>
      <c r="B112" s="74" t="s">
        <v>1478</v>
      </c>
      <c r="C112" s="74" t="s">
        <v>561</v>
      </c>
      <c r="D112" s="95" t="s">
        <v>1521</v>
      </c>
      <c r="E112" s="85" t="s">
        <v>563</v>
      </c>
      <c r="G112" s="85" t="s">
        <v>1279</v>
      </c>
      <c r="H112" s="86" t="s">
        <v>1303</v>
      </c>
      <c r="M112" s="117"/>
      <c r="N112" s="86" t="s">
        <v>1270</v>
      </c>
      <c r="P112" s="74" t="s">
        <v>1271</v>
      </c>
    </row>
    <row r="113" spans="1:16" ht="28.9">
      <c r="A113" s="79" t="s">
        <v>933</v>
      </c>
      <c r="B113" s="75" t="s">
        <v>1478</v>
      </c>
      <c r="C113" s="75" t="s">
        <v>564</v>
      </c>
      <c r="D113" s="79" t="s">
        <v>1527</v>
      </c>
      <c r="E113" s="88" t="s">
        <v>565</v>
      </c>
      <c r="F113" s="88" t="s">
        <v>1528</v>
      </c>
      <c r="G113" s="88" t="s">
        <v>1286</v>
      </c>
      <c r="H113" s="77" t="s">
        <v>1303</v>
      </c>
      <c r="I113" s="77"/>
      <c r="J113" s="77"/>
      <c r="K113" s="88" t="s">
        <v>1529</v>
      </c>
      <c r="L113" s="79" t="s">
        <v>1530</v>
      </c>
      <c r="M113" s="87"/>
      <c r="N113" s="77" t="s">
        <v>1270</v>
      </c>
      <c r="O113" s="88"/>
      <c r="P113" s="74" t="s">
        <v>1271</v>
      </c>
    </row>
    <row r="114" spans="1:16" ht="28.9">
      <c r="A114" s="79" t="s">
        <v>937</v>
      </c>
      <c r="B114" s="75" t="s">
        <v>1478</v>
      </c>
      <c r="C114" s="75" t="s">
        <v>566</v>
      </c>
      <c r="D114" s="79" t="s">
        <v>1531</v>
      </c>
      <c r="E114" s="88" t="s">
        <v>567</v>
      </c>
      <c r="F114" s="88" t="s">
        <v>938</v>
      </c>
      <c r="G114" s="88" t="s">
        <v>1286</v>
      </c>
      <c r="H114" s="77" t="s">
        <v>1303</v>
      </c>
      <c r="I114" s="77"/>
      <c r="J114" s="77"/>
      <c r="K114" s="88" t="s">
        <v>1532</v>
      </c>
      <c r="L114" s="79" t="s">
        <v>1533</v>
      </c>
      <c r="M114" s="87"/>
      <c r="N114" s="77" t="s">
        <v>1270</v>
      </c>
      <c r="O114" s="88"/>
      <c r="P114" s="74" t="s">
        <v>1271</v>
      </c>
    </row>
    <row r="115" spans="1:16" ht="28.9">
      <c r="A115" s="79" t="s">
        <v>941</v>
      </c>
      <c r="B115" s="75" t="s">
        <v>1534</v>
      </c>
      <c r="C115" s="75" t="s">
        <v>568</v>
      </c>
      <c r="D115" s="79" t="s">
        <v>1535</v>
      </c>
      <c r="E115" s="88" t="s">
        <v>569</v>
      </c>
      <c r="F115" s="88" t="s">
        <v>1536</v>
      </c>
      <c r="G115" s="88" t="s">
        <v>1537</v>
      </c>
      <c r="H115" s="77" t="s">
        <v>1267</v>
      </c>
      <c r="I115" s="77"/>
      <c r="J115" s="77"/>
      <c r="K115" s="88" t="s">
        <v>1538</v>
      </c>
      <c r="L115" s="79" t="s">
        <v>1539</v>
      </c>
      <c r="M115" s="87"/>
      <c r="N115" s="77" t="s">
        <v>1270</v>
      </c>
      <c r="O115" s="88"/>
      <c r="P115" s="74" t="s">
        <v>1271</v>
      </c>
    </row>
    <row r="116" spans="1:16">
      <c r="A116" s="79" t="s">
        <v>77</v>
      </c>
      <c r="B116" s="75" t="s">
        <v>1534</v>
      </c>
      <c r="C116" s="75" t="s">
        <v>570</v>
      </c>
      <c r="D116" s="79" t="s">
        <v>1540</v>
      </c>
      <c r="E116" s="88" t="s">
        <v>571</v>
      </c>
      <c r="F116" s="88" t="s">
        <v>945</v>
      </c>
      <c r="G116" s="88" t="s">
        <v>1374</v>
      </c>
      <c r="H116" s="77" t="s">
        <v>1303</v>
      </c>
      <c r="I116" s="77"/>
      <c r="J116" s="77"/>
      <c r="K116" s="88" t="s">
        <v>1541</v>
      </c>
      <c r="L116" s="79" t="s">
        <v>1542</v>
      </c>
      <c r="M116" s="118"/>
      <c r="N116" s="77" t="s">
        <v>1270</v>
      </c>
      <c r="O116" s="88"/>
      <c r="P116" s="74" t="s">
        <v>1271</v>
      </c>
    </row>
    <row r="117" spans="1:16" ht="28.9">
      <c r="A117" s="79" t="s">
        <v>947</v>
      </c>
      <c r="B117" s="75" t="s">
        <v>1534</v>
      </c>
      <c r="C117" s="75" t="s">
        <v>572</v>
      </c>
      <c r="D117" s="79" t="s">
        <v>1543</v>
      </c>
      <c r="E117" s="88" t="s">
        <v>573</v>
      </c>
      <c r="F117" s="88" t="s">
        <v>948</v>
      </c>
      <c r="G117" s="88" t="s">
        <v>85</v>
      </c>
      <c r="H117" s="77" t="s">
        <v>1303</v>
      </c>
      <c r="I117" s="77"/>
      <c r="J117" s="77"/>
      <c r="K117" s="88" t="s">
        <v>1544</v>
      </c>
      <c r="L117" s="79" t="s">
        <v>1542</v>
      </c>
      <c r="M117" s="87"/>
      <c r="N117" s="77" t="s">
        <v>1270</v>
      </c>
      <c r="O117" s="88"/>
      <c r="P117" s="74" t="s">
        <v>1271</v>
      </c>
    </row>
    <row r="118" spans="1:16" ht="28.9">
      <c r="A118" s="79" t="s">
        <v>951</v>
      </c>
      <c r="B118" s="75" t="s">
        <v>1534</v>
      </c>
      <c r="C118" s="75" t="s">
        <v>622</v>
      </c>
      <c r="D118" s="79" t="s">
        <v>1545</v>
      </c>
      <c r="E118" s="88" t="s">
        <v>1546</v>
      </c>
      <c r="F118" s="88" t="s">
        <v>953</v>
      </c>
      <c r="G118" s="88" t="s">
        <v>85</v>
      </c>
      <c r="H118" s="77" t="s">
        <v>1299</v>
      </c>
      <c r="I118" s="77" t="s">
        <v>1300</v>
      </c>
      <c r="J118" s="77"/>
      <c r="K118" s="88" t="s">
        <v>1547</v>
      </c>
      <c r="L118" s="79" t="s">
        <v>1548</v>
      </c>
      <c r="M118" s="87"/>
      <c r="N118" s="77" t="s">
        <v>1270</v>
      </c>
      <c r="O118" s="88"/>
      <c r="P118" s="74" t="s">
        <v>1271</v>
      </c>
    </row>
    <row r="119" spans="1:16" ht="28.9">
      <c r="A119" s="79" t="s">
        <v>955</v>
      </c>
      <c r="B119" s="75" t="s">
        <v>1534</v>
      </c>
      <c r="C119" s="75" t="s">
        <v>574</v>
      </c>
      <c r="D119" s="79" t="s">
        <v>1549</v>
      </c>
      <c r="E119" s="88" t="s">
        <v>575</v>
      </c>
      <c r="F119" s="88" t="s">
        <v>1550</v>
      </c>
      <c r="G119" s="88" t="s">
        <v>1374</v>
      </c>
      <c r="H119" s="77" t="s">
        <v>1303</v>
      </c>
      <c r="I119" s="77"/>
      <c r="J119" s="77"/>
      <c r="K119" s="88" t="s">
        <v>1551</v>
      </c>
      <c r="L119" s="79" t="s">
        <v>1552</v>
      </c>
      <c r="M119" s="87"/>
      <c r="N119" s="77" t="s">
        <v>1270</v>
      </c>
      <c r="O119" s="88"/>
      <c r="P119" s="74" t="s">
        <v>1271</v>
      </c>
    </row>
    <row r="120" spans="1:16" ht="28.9">
      <c r="A120" s="79" t="s">
        <v>958</v>
      </c>
      <c r="B120" s="75" t="s">
        <v>1534</v>
      </c>
      <c r="C120" s="75" t="s">
        <v>576</v>
      </c>
      <c r="D120" s="79" t="s">
        <v>1549</v>
      </c>
      <c r="E120" s="88" t="s">
        <v>577</v>
      </c>
      <c r="F120" s="88" t="s">
        <v>1553</v>
      </c>
      <c r="G120" s="88" t="s">
        <v>1293</v>
      </c>
      <c r="H120" s="77" t="s">
        <v>1303</v>
      </c>
      <c r="I120" s="77"/>
      <c r="J120" s="77"/>
      <c r="K120" s="88" t="s">
        <v>1554</v>
      </c>
      <c r="L120" s="79" t="s">
        <v>1552</v>
      </c>
      <c r="M120" s="122"/>
      <c r="N120" s="77" t="s">
        <v>1270</v>
      </c>
      <c r="O120" s="88"/>
      <c r="P120" s="74" t="s">
        <v>1271</v>
      </c>
    </row>
    <row r="121" spans="1:16">
      <c r="A121" s="95" t="s">
        <v>1555</v>
      </c>
      <c r="B121" s="74" t="s">
        <v>1534</v>
      </c>
      <c r="C121" s="74" t="s">
        <v>576</v>
      </c>
      <c r="D121" s="95" t="s">
        <v>1549</v>
      </c>
      <c r="E121" s="85" t="s">
        <v>578</v>
      </c>
      <c r="G121" s="85" t="s">
        <v>1374</v>
      </c>
      <c r="H121" s="86" t="s">
        <v>1306</v>
      </c>
      <c r="M121" s="118"/>
      <c r="N121" s="86" t="s">
        <v>1270</v>
      </c>
      <c r="P121" s="74" t="s">
        <v>1271</v>
      </c>
    </row>
    <row r="122" spans="1:16">
      <c r="A122" s="79" t="s">
        <v>963</v>
      </c>
      <c r="B122" s="75" t="s">
        <v>1534</v>
      </c>
      <c r="C122" s="75" t="s">
        <v>579</v>
      </c>
      <c r="D122" s="79" t="s">
        <v>1549</v>
      </c>
      <c r="E122" s="88" t="s">
        <v>580</v>
      </c>
      <c r="F122" s="88" t="s">
        <v>964</v>
      </c>
      <c r="G122" s="88" t="s">
        <v>1374</v>
      </c>
      <c r="H122" s="77" t="s">
        <v>1303</v>
      </c>
      <c r="I122" s="77"/>
      <c r="J122" s="77"/>
      <c r="K122" s="88" t="s">
        <v>1556</v>
      </c>
      <c r="L122" s="79" t="s">
        <v>1552</v>
      </c>
      <c r="M122" s="10"/>
      <c r="N122" s="77" t="s">
        <v>1270</v>
      </c>
      <c r="O122" s="88"/>
      <c r="P122" s="74" t="s">
        <v>1271</v>
      </c>
    </row>
    <row r="123" spans="1:16" ht="28.9">
      <c r="A123" s="79" t="s">
        <v>966</v>
      </c>
      <c r="B123" s="75" t="s">
        <v>1534</v>
      </c>
      <c r="C123" s="75" t="s">
        <v>581</v>
      </c>
      <c r="D123" s="79" t="s">
        <v>1549</v>
      </c>
      <c r="E123" s="88" t="s">
        <v>582</v>
      </c>
      <c r="F123" s="88" t="s">
        <v>967</v>
      </c>
      <c r="G123" s="88" t="s">
        <v>1374</v>
      </c>
      <c r="H123" s="77" t="s">
        <v>1303</v>
      </c>
      <c r="I123" s="77"/>
      <c r="J123" s="77"/>
      <c r="K123" s="88" t="s">
        <v>1557</v>
      </c>
      <c r="L123" s="79" t="s">
        <v>1552</v>
      </c>
      <c r="M123" s="10"/>
      <c r="N123" s="77" t="s">
        <v>1270</v>
      </c>
      <c r="O123" s="88"/>
      <c r="P123" s="74" t="s">
        <v>1271</v>
      </c>
    </row>
    <row r="124" spans="1:16" ht="28.9">
      <c r="A124" s="79" t="s">
        <v>969</v>
      </c>
      <c r="B124" s="75" t="s">
        <v>1534</v>
      </c>
      <c r="C124" s="75" t="s">
        <v>583</v>
      </c>
      <c r="D124" s="79" t="s">
        <v>1558</v>
      </c>
      <c r="E124" s="88" t="s">
        <v>970</v>
      </c>
      <c r="F124" s="88" t="s">
        <v>971</v>
      </c>
      <c r="G124" s="88" t="s">
        <v>83</v>
      </c>
      <c r="H124" s="77" t="s">
        <v>1287</v>
      </c>
      <c r="I124" s="77"/>
      <c r="J124" s="77"/>
      <c r="K124" s="88" t="s">
        <v>1559</v>
      </c>
      <c r="L124" s="79" t="s">
        <v>1560</v>
      </c>
      <c r="M124" s="87"/>
      <c r="N124" s="77" t="s">
        <v>1270</v>
      </c>
      <c r="O124" s="88"/>
      <c r="P124" s="74" t="s">
        <v>1271</v>
      </c>
    </row>
    <row r="125" spans="1:16">
      <c r="A125" s="95" t="s">
        <v>1561</v>
      </c>
      <c r="B125" s="74" t="s">
        <v>1534</v>
      </c>
      <c r="C125" s="74" t="s">
        <v>583</v>
      </c>
      <c r="D125" s="95" t="s">
        <v>1558</v>
      </c>
      <c r="E125" s="85" t="s">
        <v>584</v>
      </c>
      <c r="G125" s="85" t="s">
        <v>1293</v>
      </c>
      <c r="H125" s="86" t="s">
        <v>1303</v>
      </c>
      <c r="M125" s="117"/>
      <c r="N125" s="86" t="s">
        <v>1270</v>
      </c>
      <c r="P125" s="74" t="s">
        <v>1271</v>
      </c>
    </row>
    <row r="126" spans="1:16" ht="28.9">
      <c r="A126" s="79" t="s">
        <v>974</v>
      </c>
      <c r="B126" s="75" t="s">
        <v>1534</v>
      </c>
      <c r="C126" s="75" t="s">
        <v>585</v>
      </c>
      <c r="D126" s="79" t="s">
        <v>1549</v>
      </c>
      <c r="E126" s="88" t="s">
        <v>586</v>
      </c>
      <c r="F126" s="88" t="s">
        <v>1562</v>
      </c>
      <c r="G126" s="88" t="s">
        <v>1374</v>
      </c>
      <c r="H126" s="77" t="s">
        <v>1283</v>
      </c>
      <c r="I126" s="77"/>
      <c r="J126" s="77"/>
      <c r="K126" s="88" t="s">
        <v>1563</v>
      </c>
      <c r="L126" s="79" t="s">
        <v>1564</v>
      </c>
      <c r="M126" s="122"/>
      <c r="N126" s="77" t="s">
        <v>1270</v>
      </c>
      <c r="O126" s="88"/>
      <c r="P126" s="74" t="s">
        <v>1271</v>
      </c>
    </row>
    <row r="127" spans="1:16">
      <c r="A127" s="95" t="s">
        <v>1565</v>
      </c>
      <c r="B127" s="74" t="s">
        <v>1534</v>
      </c>
      <c r="C127" s="74" t="s">
        <v>585</v>
      </c>
      <c r="D127" s="95" t="s">
        <v>1549</v>
      </c>
      <c r="E127" s="85" t="s">
        <v>587</v>
      </c>
      <c r="G127" s="85" t="s">
        <v>1374</v>
      </c>
      <c r="H127" s="86" t="s">
        <v>1287</v>
      </c>
      <c r="M127" s="118"/>
      <c r="N127" s="86" t="s">
        <v>1270</v>
      </c>
      <c r="P127" s="74" t="s">
        <v>1271</v>
      </c>
    </row>
    <row r="128" spans="1:16">
      <c r="A128" s="95" t="s">
        <v>1566</v>
      </c>
      <c r="B128" s="74" t="s">
        <v>1534</v>
      </c>
      <c r="C128" s="74" t="s">
        <v>585</v>
      </c>
      <c r="D128" s="95" t="s">
        <v>1549</v>
      </c>
      <c r="E128" s="85" t="s">
        <v>588</v>
      </c>
      <c r="G128" s="85" t="s">
        <v>1374</v>
      </c>
      <c r="H128" s="86" t="s">
        <v>1267</v>
      </c>
      <c r="M128" s="10"/>
      <c r="N128" s="86" t="s">
        <v>1270</v>
      </c>
      <c r="P128" s="74" t="s">
        <v>1271</v>
      </c>
    </row>
    <row r="129" spans="1:16" ht="28.9">
      <c r="A129" s="79" t="s">
        <v>978</v>
      </c>
      <c r="B129" s="75" t="s">
        <v>1534</v>
      </c>
      <c r="C129" s="75" t="s">
        <v>623</v>
      </c>
      <c r="D129" s="79" t="s">
        <v>1567</v>
      </c>
      <c r="E129" s="88" t="s">
        <v>979</v>
      </c>
      <c r="F129" s="88" t="s">
        <v>980</v>
      </c>
      <c r="G129" s="88" t="s">
        <v>83</v>
      </c>
      <c r="H129" s="77" t="s">
        <v>1267</v>
      </c>
      <c r="I129" s="77"/>
      <c r="J129" s="77"/>
      <c r="K129" s="88" t="s">
        <v>1568</v>
      </c>
      <c r="L129" s="79" t="s">
        <v>1569</v>
      </c>
      <c r="M129" s="87"/>
      <c r="N129" s="77" t="s">
        <v>1270</v>
      </c>
      <c r="O129" s="88"/>
      <c r="P129" s="74" t="s">
        <v>1271</v>
      </c>
    </row>
    <row r="130" spans="1:16" ht="28.9">
      <c r="A130" s="79" t="s">
        <v>982</v>
      </c>
      <c r="B130" s="75" t="s">
        <v>1534</v>
      </c>
      <c r="C130" s="75" t="s">
        <v>589</v>
      </c>
      <c r="D130" s="79" t="s">
        <v>1570</v>
      </c>
      <c r="E130" s="88" t="s">
        <v>590</v>
      </c>
      <c r="F130" s="88" t="s">
        <v>984</v>
      </c>
      <c r="G130" s="88" t="s">
        <v>1374</v>
      </c>
      <c r="H130" s="77" t="s">
        <v>1303</v>
      </c>
      <c r="I130" s="77"/>
      <c r="J130" s="77"/>
      <c r="K130" s="88" t="s">
        <v>1571</v>
      </c>
      <c r="L130" s="79" t="s">
        <v>1572</v>
      </c>
      <c r="M130" s="87"/>
      <c r="N130" s="77" t="s">
        <v>1270</v>
      </c>
      <c r="O130" s="88"/>
      <c r="P130" s="74" t="s">
        <v>1271</v>
      </c>
    </row>
    <row r="131" spans="1:16" ht="28.9">
      <c r="A131" s="79" t="s">
        <v>987</v>
      </c>
      <c r="B131" s="75" t="s">
        <v>1534</v>
      </c>
      <c r="C131" s="75" t="s">
        <v>591</v>
      </c>
      <c r="D131" s="79" t="s">
        <v>1573</v>
      </c>
      <c r="E131" s="88" t="s">
        <v>592</v>
      </c>
      <c r="F131" s="88" t="s">
        <v>1574</v>
      </c>
      <c r="G131" s="88" t="s">
        <v>1266</v>
      </c>
      <c r="H131" s="77" t="s">
        <v>1303</v>
      </c>
      <c r="I131" s="77"/>
      <c r="J131" s="77"/>
      <c r="K131" s="88" t="s">
        <v>1575</v>
      </c>
      <c r="L131" s="79" t="s">
        <v>1576</v>
      </c>
      <c r="M131" s="87"/>
      <c r="N131" s="77" t="s">
        <v>1270</v>
      </c>
      <c r="O131" s="88"/>
      <c r="P131" s="74" t="s">
        <v>1271</v>
      </c>
    </row>
    <row r="132" spans="1:16">
      <c r="A132" s="95" t="s">
        <v>1577</v>
      </c>
      <c r="B132" s="74" t="s">
        <v>1534</v>
      </c>
      <c r="C132" s="74" t="s">
        <v>591</v>
      </c>
      <c r="D132" s="95" t="s">
        <v>1573</v>
      </c>
      <c r="E132" s="85" t="s">
        <v>593</v>
      </c>
      <c r="G132" s="85" t="s">
        <v>7</v>
      </c>
      <c r="H132" s="86" t="s">
        <v>1303</v>
      </c>
      <c r="M132" s="117"/>
      <c r="N132" s="86" t="s">
        <v>1270</v>
      </c>
      <c r="P132" s="74" t="s">
        <v>1271</v>
      </c>
    </row>
    <row r="133" spans="1:16" ht="28.9">
      <c r="A133" s="79" t="s">
        <v>990</v>
      </c>
      <c r="B133" s="75" t="s">
        <v>1534</v>
      </c>
      <c r="C133" s="75" t="s">
        <v>594</v>
      </c>
      <c r="D133" s="79" t="s">
        <v>1578</v>
      </c>
      <c r="E133" s="88" t="s">
        <v>595</v>
      </c>
      <c r="F133" s="88" t="s">
        <v>992</v>
      </c>
      <c r="G133" s="88" t="s">
        <v>1266</v>
      </c>
      <c r="H133" s="77" t="s">
        <v>1283</v>
      </c>
      <c r="I133" s="77"/>
      <c r="J133" s="77"/>
      <c r="K133" s="88" t="s">
        <v>1579</v>
      </c>
      <c r="L133" s="79" t="s">
        <v>1580</v>
      </c>
      <c r="M133" s="87"/>
      <c r="N133" s="77" t="s">
        <v>1270</v>
      </c>
      <c r="O133" s="88"/>
      <c r="P133" s="74" t="s">
        <v>1271</v>
      </c>
    </row>
    <row r="134" spans="1:16" ht="28.9">
      <c r="A134" s="79" t="s">
        <v>994</v>
      </c>
      <c r="B134" s="75" t="s">
        <v>1534</v>
      </c>
      <c r="C134" s="75" t="s">
        <v>596</v>
      </c>
      <c r="D134" s="79" t="s">
        <v>1581</v>
      </c>
      <c r="E134" s="88" t="s">
        <v>597</v>
      </c>
      <c r="F134" s="88" t="s">
        <v>996</v>
      </c>
      <c r="G134" s="88" t="s">
        <v>1266</v>
      </c>
      <c r="H134" s="77" t="s">
        <v>1283</v>
      </c>
      <c r="I134" s="77"/>
      <c r="J134" s="77"/>
      <c r="K134" s="88" t="s">
        <v>1582</v>
      </c>
      <c r="L134" s="79" t="s">
        <v>1583</v>
      </c>
      <c r="M134" s="87"/>
      <c r="N134" s="77" t="s">
        <v>1270</v>
      </c>
      <c r="O134" s="88"/>
      <c r="P134" s="74" t="s">
        <v>1271</v>
      </c>
    </row>
    <row r="135" spans="1:16" ht="28.9">
      <c r="A135" s="79" t="s">
        <v>999</v>
      </c>
      <c r="B135" s="75" t="s">
        <v>1534</v>
      </c>
      <c r="C135" s="75" t="s">
        <v>598</v>
      </c>
      <c r="D135" s="79" t="s">
        <v>1584</v>
      </c>
      <c r="E135" s="88" t="s">
        <v>599</v>
      </c>
      <c r="F135" s="88" t="s">
        <v>1585</v>
      </c>
      <c r="G135" s="88" t="s">
        <v>1266</v>
      </c>
      <c r="H135" s="77" t="s">
        <v>1283</v>
      </c>
      <c r="I135" s="77"/>
      <c r="J135" s="77"/>
      <c r="K135" s="88" t="s">
        <v>1586</v>
      </c>
      <c r="L135" s="79" t="s">
        <v>1587</v>
      </c>
      <c r="M135" s="87"/>
      <c r="N135" s="77" t="s">
        <v>1270</v>
      </c>
      <c r="O135" s="88"/>
      <c r="P135" s="74" t="s">
        <v>1271</v>
      </c>
    </row>
  </sheetData>
  <sheetProtection sheet="1" objects="1" scenarios="1" insertHyperlinks="0" autoFilter="0"/>
  <autoFilter ref="A1:R135" xr:uid="{68B0BF68-3E2A-4C46-87AE-F5A2382AC536}"/>
  <sortState xmlns:xlrd2="http://schemas.microsoft.com/office/spreadsheetml/2017/richdata2" ref="A2:Q135">
    <sortCondition ref="A2"/>
  </sortState>
  <conditionalFormatting sqref="P1">
    <cfRule type="expression" dxfId="36" priority="4">
      <formula>$F1="Vencida"</formula>
    </cfRule>
    <cfRule type="expression" dxfId="35" priority="5">
      <formula>$F1="Completada"</formula>
    </cfRule>
  </conditionalFormatting>
  <conditionalFormatting sqref="A1:Q1048576 R2:R1048576">
    <cfRule type="expression" dxfId="34" priority="3">
      <formula>$N1="Inactiva"</formula>
    </cfRule>
  </conditionalFormatting>
  <conditionalFormatting sqref="R1">
    <cfRule type="expression" dxfId="33" priority="1">
      <formula>$N1="Inactiva"</formula>
    </cfRule>
  </conditionalFormatting>
  <dataValidations count="5">
    <dataValidation type="list" allowBlank="1" showInputMessage="1" showErrorMessage="1" sqref="N1:N1048576" xr:uid="{B09A8DC5-C8FD-48BB-A127-8E226FEDF16A}">
      <formula1>"Activa,Inactiva"</formula1>
    </dataValidation>
    <dataValidation type="list" allowBlank="1" showInputMessage="1" showErrorMessage="1" sqref="Q1:Q1048576" xr:uid="{EE30A7F1-A0DB-4FF7-99D6-40FE978940D1}">
      <formula1>"Agente FL,Agente BL,Agente RB,Agente KAD,Todos"</formula1>
    </dataValidation>
    <dataValidation type="list" allowBlank="1" showInputMessage="1" showErrorMessage="1" sqref="I1:I1048576" xr:uid="{7A82B858-BF89-4D0F-84B4-C3B459D77C92}">
      <formula1>"Lunes,Martes,Miércoles,Jueves,Viernes"</formula1>
    </dataValidation>
    <dataValidation type="list" allowBlank="1" showInputMessage="1" showErrorMessage="1" sqref="H1:H1048576" xr:uid="{D0F5445B-A19D-4F2B-8FCE-15CFE5707624}">
      <formula1>"Diaria,Semanal,Mensual,Trimestral,Semestral,Anual,Ad-hoc"</formula1>
    </dataValidation>
    <dataValidation type="list" allowBlank="1" showInputMessage="1" showErrorMessage="1" sqref="R75:R1048576" xr:uid="{7892903F-10FE-4CCD-8F6A-2BB15E4C9928}">
      <formula1>INDIRECT($C75&amp;"_")</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9A410-AB61-4E2F-AA3B-6D090D0F2681}">
  <sheetPr codeName="Sheet10"/>
  <dimension ref="A1:M735"/>
  <sheetViews>
    <sheetView topLeftCell="E1" workbookViewId="0">
      <pane ySplit="1" topLeftCell="A2" activePane="bottomLeft" state="frozen"/>
      <selection pane="bottomLeft" activeCell="L2" sqref="L2:M4"/>
    </sheetView>
  </sheetViews>
  <sheetFormatPr defaultRowHeight="14.45"/>
  <cols>
    <col min="1" max="1" width="6.28515625" hidden="1" customWidth="1"/>
    <col min="2" max="2" width="7" style="75" hidden="1" customWidth="1"/>
    <col min="3" max="3" width="14.140625" style="75" customWidth="1"/>
    <col min="4" max="4" width="75.7109375" style="75" customWidth="1"/>
    <col min="5" max="5" width="13" style="75" customWidth="1"/>
    <col min="6" max="6" width="11.85546875" style="75" hidden="1" customWidth="1"/>
    <col min="7" max="7" width="28.7109375" style="75" bestFit="1" customWidth="1"/>
    <col min="8" max="8" width="16.7109375" style="77" bestFit="1" customWidth="1"/>
    <col min="9" max="9" width="15.28515625" style="75" bestFit="1" customWidth="1"/>
    <col min="10" max="10" width="16.42578125" style="75" customWidth="1"/>
    <col min="12" max="12" width="20.7109375" customWidth="1"/>
    <col min="13" max="13" width="10.7109375" customWidth="1"/>
  </cols>
  <sheetData>
    <row r="1" spans="1:13" ht="28.9">
      <c r="A1" s="67" t="s">
        <v>1588</v>
      </c>
      <c r="B1" s="76" t="s">
        <v>93</v>
      </c>
      <c r="C1" s="76" t="s">
        <v>1589</v>
      </c>
      <c r="D1" s="76" t="s">
        <v>94</v>
      </c>
      <c r="E1" s="76" t="s">
        <v>1590</v>
      </c>
      <c r="F1" s="76" t="s">
        <v>1591</v>
      </c>
      <c r="G1" s="76" t="s">
        <v>1592</v>
      </c>
      <c r="H1" s="101" t="s">
        <v>1593</v>
      </c>
      <c r="I1" s="76" t="s">
        <v>1594</v>
      </c>
      <c r="J1" s="76" t="s">
        <v>1595</v>
      </c>
    </row>
    <row r="2" spans="1:13" ht="86.45">
      <c r="A2" s="74">
        <v>1</v>
      </c>
      <c r="B2" s="75" t="s">
        <v>97</v>
      </c>
      <c r="C2" s="75" t="s">
        <v>1596</v>
      </c>
      <c r="D2" s="75" t="s">
        <v>635</v>
      </c>
      <c r="E2" s="75" t="s">
        <v>644</v>
      </c>
      <c r="F2" s="75" t="s">
        <v>1597</v>
      </c>
      <c r="G2" s="75" t="str">
        <f>+IF(ISERROR(VLOOKUP(E2,Tareas_Maestro!A:E,5,0)),"",VLOOKUP(E2,Tareas_Maestro!A:E,5,0))</f>
        <v>Preparación para Auditoría - Simulacro KPIs</v>
      </c>
      <c r="H2" s="77" t="s">
        <v>1270</v>
      </c>
      <c r="I2" s="75" t="s">
        <v>99</v>
      </c>
      <c r="L2" s="103" t="s">
        <v>100</v>
      </c>
      <c r="M2" s="103">
        <v>108</v>
      </c>
    </row>
    <row r="3" spans="1:13" ht="43.15">
      <c r="A3" s="74">
        <v>2</v>
      </c>
      <c r="B3" s="75" t="s">
        <v>97</v>
      </c>
      <c r="C3" s="75" t="s">
        <v>1598</v>
      </c>
      <c r="D3" s="75" t="s">
        <v>639</v>
      </c>
      <c r="E3" s="75" t="s">
        <v>640</v>
      </c>
      <c r="F3" s="75" t="s">
        <v>1597</v>
      </c>
      <c r="G3" s="75" t="str">
        <f>+IF(ISERROR(VLOOKUP(E3,Tareas_Maestro!A:E,5,0)),"",VLOOKUP(E3,Tareas_Maestro!A:E,5,0))</f>
        <v>Comunicar y capacitar sobre el CSE Scorecard</v>
      </c>
      <c r="H3" s="77" t="s">
        <v>1270</v>
      </c>
      <c r="I3" s="75" t="s">
        <v>99</v>
      </c>
      <c r="L3" s="103" t="s">
        <v>91</v>
      </c>
      <c r="M3" s="103">
        <v>118</v>
      </c>
    </row>
    <row r="4" spans="1:13" ht="43.15">
      <c r="A4" s="74">
        <v>3</v>
      </c>
      <c r="B4" s="75" t="s">
        <v>97</v>
      </c>
      <c r="C4" s="75" t="s">
        <v>1598</v>
      </c>
      <c r="D4" s="75" t="s">
        <v>639</v>
      </c>
      <c r="E4" s="75" t="s">
        <v>654</v>
      </c>
      <c r="F4" s="75" t="s">
        <v>1597</v>
      </c>
      <c r="G4" s="75" t="str">
        <f>+IF(ISERROR(VLOOKUP(E4,Tareas_Maestro!A:E,5,0)),"",VLOOKUP(E4,Tareas_Maestro!A:E,5,0))</f>
        <v>Verificar accesibilidad del CSE Scorecard</v>
      </c>
      <c r="H4" s="77" t="s">
        <v>1270</v>
      </c>
      <c r="I4" s="75" t="s">
        <v>99</v>
      </c>
      <c r="L4" s="124" t="s">
        <v>103</v>
      </c>
      <c r="M4" s="125">
        <v>0.9152542372881356</v>
      </c>
    </row>
    <row r="5" spans="1:13" ht="43.15">
      <c r="A5" s="74">
        <v>4</v>
      </c>
      <c r="B5" s="75" t="s">
        <v>97</v>
      </c>
      <c r="C5" s="75" t="s">
        <v>1599</v>
      </c>
      <c r="D5" s="75" t="s">
        <v>643</v>
      </c>
      <c r="E5" s="75" t="s">
        <v>636</v>
      </c>
      <c r="F5" s="75" t="s">
        <v>1597</v>
      </c>
      <c r="G5" s="75" t="str">
        <f>+IF(ISERROR(VLOOKUP(E5,Tareas_Maestro!A:E,5,0)),"",VLOOKUP(E5,Tareas_Maestro!A:E,5,0))</f>
        <v>Definir y mantener actualizado el CSE Scorecard</v>
      </c>
      <c r="H5" s="77" t="s">
        <v>1270</v>
      </c>
      <c r="I5" s="75" t="s">
        <v>99</v>
      </c>
    </row>
    <row r="6" spans="1:13" ht="43.15">
      <c r="A6" s="74">
        <v>5</v>
      </c>
      <c r="B6" s="75" t="s">
        <v>97</v>
      </c>
      <c r="C6" s="75" t="s">
        <v>1599</v>
      </c>
      <c r="D6" s="75" t="s">
        <v>643</v>
      </c>
      <c r="E6" s="75" t="s">
        <v>649</v>
      </c>
      <c r="F6" s="75" t="s">
        <v>1597</v>
      </c>
      <c r="G6" s="75" t="str">
        <f>+IF(ISERROR(VLOOKUP(E6,Tareas_Maestro!A:E,5,0)),"",VLOOKUP(E6,Tareas_Maestro!A:E,5,0))</f>
        <v>Asegurar que Gerencia y Supervisores expliquen el Scorecard</v>
      </c>
      <c r="H6" s="77" t="s">
        <v>1270</v>
      </c>
      <c r="I6" s="75" t="s">
        <v>99</v>
      </c>
    </row>
    <row r="7" spans="1:13" ht="86.45">
      <c r="A7" s="74">
        <v>6</v>
      </c>
      <c r="B7" s="75" t="s">
        <v>104</v>
      </c>
      <c r="C7" s="75" t="s">
        <v>1600</v>
      </c>
      <c r="D7" s="75" t="s">
        <v>648</v>
      </c>
      <c r="E7" s="75" t="s">
        <v>658</v>
      </c>
      <c r="F7" s="75" t="s">
        <v>1597</v>
      </c>
      <c r="G7" s="75" t="str">
        <f>+IF(ISERROR(VLOOKUP(E7,Tareas_Maestro!A:E,5,0)),"",VLOOKUP(E7,Tareas_Maestro!A:E,5,0))</f>
        <v>Asegurar que existen Job Descriptions (JD) actualizadas</v>
      </c>
      <c r="H7" s="77" t="s">
        <v>1270</v>
      </c>
      <c r="I7" s="75" t="s">
        <v>99</v>
      </c>
    </row>
    <row r="8" spans="1:13" ht="28.9">
      <c r="A8" s="74">
        <v>7</v>
      </c>
      <c r="B8" s="75" t="s">
        <v>104</v>
      </c>
      <c r="C8" s="75" t="s">
        <v>1601</v>
      </c>
      <c r="D8" s="75" t="s">
        <v>653</v>
      </c>
      <c r="E8" s="75" t="s">
        <v>677</v>
      </c>
      <c r="F8" s="75" t="s">
        <v>1597</v>
      </c>
      <c r="G8" s="75" t="str">
        <f>+IF(ISERROR(VLOOKUP(E8,Tareas_Maestro!A:E,5,0)),"",VLOOKUP(E8,Tareas_Maestro!A:E,5,0))</f>
        <v>Verificar accesibilidad de JDs</v>
      </c>
      <c r="H8" s="77" t="s">
        <v>1270</v>
      </c>
      <c r="I8" s="75" t="s">
        <v>99</v>
      </c>
    </row>
    <row r="9" spans="1:13" ht="72">
      <c r="A9" s="74">
        <v>8</v>
      </c>
      <c r="B9" s="75" t="s">
        <v>104</v>
      </c>
      <c r="C9" s="75" t="s">
        <v>1602</v>
      </c>
      <c r="D9" s="75" t="s">
        <v>657</v>
      </c>
      <c r="E9" s="75" t="s">
        <v>663</v>
      </c>
      <c r="F9" s="75" t="s">
        <v>1597</v>
      </c>
      <c r="G9" s="75" t="str">
        <f>+IF(ISERROR(VLOOKUP(E9,Tareas_Maestro!A:E,5,0)),"",VLOOKUP(E9,Tareas_Maestro!A:E,5,0))</f>
        <v>Comunicar formalmente las JDs y obtener acuse de recibo</v>
      </c>
      <c r="H9" s="77" t="s">
        <v>1270</v>
      </c>
      <c r="I9" s="75" t="s">
        <v>99</v>
      </c>
    </row>
    <row r="10" spans="1:13" ht="43.15">
      <c r="A10" s="74">
        <v>9</v>
      </c>
      <c r="B10" s="75" t="s">
        <v>104</v>
      </c>
      <c r="C10" s="75" t="s">
        <v>1603</v>
      </c>
      <c r="D10" s="75" t="s">
        <v>662</v>
      </c>
      <c r="E10" s="75" t="s">
        <v>667</v>
      </c>
      <c r="F10" s="75" t="s">
        <v>1597</v>
      </c>
      <c r="G10" s="75" t="str">
        <f>+IF(ISERROR(VLOOKUP(E10,Tareas_Maestro!A:E,5,0)),"",VLOOKUP(E10,Tareas_Maestro!A:E,5,0))</f>
        <v>Asegurar actualización del sistema HR (MyTalentWorld)</v>
      </c>
      <c r="H10" s="77" t="s">
        <v>1270</v>
      </c>
      <c r="I10" s="75" t="s">
        <v>99</v>
      </c>
    </row>
    <row r="11" spans="1:13" ht="43.15">
      <c r="A11" s="74">
        <v>10</v>
      </c>
      <c r="B11" s="75" t="s">
        <v>104</v>
      </c>
      <c r="C11" s="75" t="s">
        <v>1604</v>
      </c>
      <c r="D11" s="75" t="s">
        <v>666</v>
      </c>
      <c r="E11" s="75" t="s">
        <v>672</v>
      </c>
      <c r="F11" s="75" t="s">
        <v>1597</v>
      </c>
      <c r="G11" s="75" t="str">
        <f>+IF(ISERROR(VLOOKUP(E11,Tareas_Maestro!A:E,5,0)),"",VLOOKUP(E11,Tareas_Maestro!A:E,5,0))</f>
        <v>Preparación para Auditoría - Simulacro JDs y en MyTalent</v>
      </c>
      <c r="H11" s="77" t="s">
        <v>1270</v>
      </c>
      <c r="I11" s="75" t="s">
        <v>99</v>
      </c>
    </row>
    <row r="12" spans="1:13" ht="86.45">
      <c r="A12" s="74">
        <v>11</v>
      </c>
      <c r="B12" s="75" t="s">
        <v>110</v>
      </c>
      <c r="C12" s="75" t="s">
        <v>1605</v>
      </c>
      <c r="D12" s="75" t="s">
        <v>671</v>
      </c>
      <c r="E12" s="75" t="s">
        <v>691</v>
      </c>
      <c r="F12" s="75" t="s">
        <v>1597</v>
      </c>
      <c r="G12" s="75" t="str">
        <f>+IF(ISERROR(VLOOKUP(E12,Tareas_Maestro!A:E,5,0)),"",VLOOKUP(E12,Tareas_Maestro!A:E,5,0))</f>
        <v>Distribuir reportes de desempeño a los agentes para su revisión y análisis</v>
      </c>
      <c r="H12" s="77" t="s">
        <v>1270</v>
      </c>
      <c r="I12" s="75" t="s">
        <v>114</v>
      </c>
      <c r="J12" s="75" t="s">
        <v>1606</v>
      </c>
    </row>
    <row r="13" spans="1:13" ht="86.45">
      <c r="A13" s="1">
        <v>318</v>
      </c>
      <c r="B13" s="75" t="s">
        <v>110</v>
      </c>
      <c r="C13" s="75" t="s">
        <v>1605</v>
      </c>
      <c r="D13" s="75" t="s">
        <v>111</v>
      </c>
      <c r="E13" s="75" t="s">
        <v>1309</v>
      </c>
      <c r="F13" s="75" t="s">
        <v>1607</v>
      </c>
      <c r="G13" s="75" t="str">
        <f>+IF(ISERROR(VLOOKUP(E13,Tareas_Maestro!A:E,5,0)),"",VLOOKUP(E13,Tareas_Maestro!A:E,5,0))</f>
        <v>Realizar todas las comunicaciones necesarias para el departamento, por todos los medios disponibles (Gurú, Teams, Outlook)</v>
      </c>
      <c r="H13" s="77" t="s">
        <v>1270</v>
      </c>
      <c r="I13" s="75" t="s">
        <v>99</v>
      </c>
    </row>
    <row r="14" spans="1:13" ht="86.45">
      <c r="A14" s="74">
        <v>12</v>
      </c>
      <c r="B14" s="75" t="s">
        <v>110</v>
      </c>
      <c r="C14" s="75" t="s">
        <v>1608</v>
      </c>
      <c r="D14" s="75" t="s">
        <v>676</v>
      </c>
      <c r="E14" s="75" t="s">
        <v>681</v>
      </c>
      <c r="F14" s="75" t="s">
        <v>1597</v>
      </c>
      <c r="G14" s="75" t="str">
        <f>+IF(ISERROR(VLOOKUP(E14,Tareas_Maestro!A:E,5,0)),"",VLOOKUP(E14,Tareas_Maestro!A:E,5,0))</f>
        <v>Ejecutar reuniones de equipo según calendario (PDs) con registros correspondientes</v>
      </c>
      <c r="H14" s="77" t="s">
        <v>1270</v>
      </c>
      <c r="I14" s="75" t="s">
        <v>99</v>
      </c>
    </row>
    <row r="15" spans="1:13" ht="86.45">
      <c r="A15" s="74">
        <v>13</v>
      </c>
      <c r="B15" s="75" t="s">
        <v>110</v>
      </c>
      <c r="C15" s="75" t="s">
        <v>1608</v>
      </c>
      <c r="D15" s="75" t="s">
        <v>676</v>
      </c>
      <c r="E15" s="75" t="s">
        <v>685</v>
      </c>
      <c r="F15" s="75" t="s">
        <v>1597</v>
      </c>
      <c r="G15" s="75" t="str">
        <f>+IF(ISERROR(VLOOKUP(E15,Tareas_Maestro!A:E,5,0)),"",VLOOKUP(E15,Tareas_Maestro!A:E,5,0))</f>
        <v>Ejecutar reunión departamental mensual</v>
      </c>
      <c r="H15" s="77" t="s">
        <v>1270</v>
      </c>
      <c r="I15" s="75" t="s">
        <v>99</v>
      </c>
    </row>
    <row r="16" spans="1:13" ht="57.6">
      <c r="A16" s="74">
        <v>14</v>
      </c>
      <c r="B16" s="75" t="s">
        <v>110</v>
      </c>
      <c r="C16" s="75" t="s">
        <v>1609</v>
      </c>
      <c r="D16" s="75" t="s">
        <v>680</v>
      </c>
      <c r="E16" s="75" t="s">
        <v>691</v>
      </c>
      <c r="F16" s="75" t="s">
        <v>1597</v>
      </c>
      <c r="G16" s="75" t="str">
        <f>+IF(ISERROR(VLOOKUP(E16,Tareas_Maestro!A:E,5,0)),"",VLOOKUP(E16,Tareas_Maestro!A:E,5,0))</f>
        <v>Distribuir reportes de desempeño a los agentes para su revisión y análisis</v>
      </c>
      <c r="H16" s="77" t="s">
        <v>1270</v>
      </c>
      <c r="I16" s="75" t="s">
        <v>114</v>
      </c>
      <c r="J16" s="75" t="s">
        <v>1606</v>
      </c>
    </row>
    <row r="17" spans="1:10" ht="43.15">
      <c r="A17" s="74">
        <v>15</v>
      </c>
      <c r="B17" s="75" t="s">
        <v>110</v>
      </c>
      <c r="C17" s="75" t="s">
        <v>1610</v>
      </c>
      <c r="D17" s="75" t="s">
        <v>684</v>
      </c>
      <c r="E17" s="75" t="s">
        <v>691</v>
      </c>
      <c r="F17" s="75" t="s">
        <v>1597</v>
      </c>
      <c r="G17" s="75" t="str">
        <f>+IF(ISERROR(VLOOKUP(E17,Tareas_Maestro!A:E,5,0)),"",VLOOKUP(E17,Tareas_Maestro!A:E,5,0))</f>
        <v>Distribuir reportes de desempeño a los agentes para su revisión y análisis</v>
      </c>
      <c r="H17" s="77" t="s">
        <v>1270</v>
      </c>
      <c r="I17" s="75" t="s">
        <v>114</v>
      </c>
      <c r="J17" s="75" t="s">
        <v>1606</v>
      </c>
    </row>
    <row r="18" spans="1:10" ht="86.45">
      <c r="A18" s="74">
        <v>16</v>
      </c>
      <c r="B18" s="75" t="s">
        <v>116</v>
      </c>
      <c r="C18" s="75" t="s">
        <v>1611</v>
      </c>
      <c r="D18" s="75" t="s">
        <v>690</v>
      </c>
      <c r="E18" s="75" t="s">
        <v>699</v>
      </c>
      <c r="F18" s="75" t="s">
        <v>1597</v>
      </c>
      <c r="G18" s="75" t="str">
        <f>+IF(ISERROR(VLOOKUP(E18,Tareas_Maestro!A:E,5,0)),"",VLOOKUP(E18,Tareas_Maestro!A:E,5,0))</f>
        <v>Revisar y validar internamente el forecast de llamadas</v>
      </c>
      <c r="H18" s="77" t="s">
        <v>1270</v>
      </c>
      <c r="I18" s="75" t="s">
        <v>99</v>
      </c>
    </row>
    <row r="19" spans="1:10" ht="57.6">
      <c r="A19" s="74">
        <v>17</v>
      </c>
      <c r="B19" s="75" t="s">
        <v>116</v>
      </c>
      <c r="C19" s="75" t="s">
        <v>1612</v>
      </c>
      <c r="D19" s="75" t="s">
        <v>694</v>
      </c>
      <c r="E19" s="75" t="s">
        <v>695</v>
      </c>
      <c r="F19" s="75" t="s">
        <v>1597</v>
      </c>
      <c r="G19" s="75" t="str">
        <f>+IF(ISERROR(VLOOKUP(E19,Tareas_Maestro!A:E,5,0)),"",VLOOKUP(E19,Tareas_Maestro!A:E,5,0))</f>
        <v>Generar forecast de llamadas (mensual)</v>
      </c>
      <c r="H19" s="77" t="s">
        <v>1270</v>
      </c>
      <c r="I19" s="75" t="s">
        <v>99</v>
      </c>
    </row>
    <row r="20" spans="1:10" ht="57.6">
      <c r="A20" s="1">
        <v>289</v>
      </c>
      <c r="B20" s="75" t="s">
        <v>116</v>
      </c>
      <c r="C20" s="75" t="s">
        <v>1612</v>
      </c>
      <c r="D20" s="75" t="s">
        <v>118</v>
      </c>
      <c r="E20" s="75" t="s">
        <v>1320</v>
      </c>
      <c r="F20" s="75" t="s">
        <v>1607</v>
      </c>
      <c r="G20" s="75" t="str">
        <f>+IF(ISERROR(VLOOKUP(E20,Tareas_Maestro!A:E,5,0)),"",VLOOKUP(E20,Tareas_Maestro!A:E,5,0))</f>
        <v>Hacer programación en WFO</v>
      </c>
      <c r="H20" s="77" t="s">
        <v>1270</v>
      </c>
      <c r="I20" s="75" t="s">
        <v>99</v>
      </c>
    </row>
    <row r="21" spans="1:10" ht="43.15">
      <c r="A21" s="74">
        <v>18</v>
      </c>
      <c r="B21" s="75" t="s">
        <v>116</v>
      </c>
      <c r="C21" s="75" t="s">
        <v>1613</v>
      </c>
      <c r="D21" s="75" t="s">
        <v>698</v>
      </c>
      <c r="E21" s="75" t="s">
        <v>695</v>
      </c>
      <c r="F21" s="75" t="s">
        <v>1597</v>
      </c>
      <c r="G21" s="75" t="str">
        <f>+IF(ISERROR(VLOOKUP(E21,Tareas_Maestro!A:E,5,0)),"",VLOOKUP(E21,Tareas_Maestro!A:E,5,0))</f>
        <v>Generar forecast de llamadas (mensual)</v>
      </c>
      <c r="H21" s="77" t="s">
        <v>1270</v>
      </c>
      <c r="I21" s="75" t="s">
        <v>99</v>
      </c>
    </row>
    <row r="22" spans="1:10" ht="43.15">
      <c r="A22" s="1">
        <v>288</v>
      </c>
      <c r="B22" s="75" t="s">
        <v>116</v>
      </c>
      <c r="C22" s="75" t="s">
        <v>1613</v>
      </c>
      <c r="D22" s="75" t="s">
        <v>119</v>
      </c>
      <c r="E22" s="75" t="s">
        <v>1319</v>
      </c>
      <c r="F22" s="75" t="s">
        <v>1607</v>
      </c>
      <c r="G22" s="75" t="str">
        <f>+IF(ISERROR(VLOOKUP(E22,Tareas_Maestro!A:E,5,0)),"",VLOOKUP(E22,Tareas_Maestro!A:E,5,0))</f>
        <v>Revisar shrinkage de archivo Monthly report y cargarlo en capacity</v>
      </c>
      <c r="H22" s="77" t="s">
        <v>1270</v>
      </c>
      <c r="I22" s="75" t="s">
        <v>99</v>
      </c>
    </row>
    <row r="23" spans="1:10" ht="57.6">
      <c r="A23" s="74">
        <v>19</v>
      </c>
      <c r="B23" s="75" t="s">
        <v>116</v>
      </c>
      <c r="C23" s="75" t="s">
        <v>1614</v>
      </c>
      <c r="D23" s="75" t="s">
        <v>702</v>
      </c>
      <c r="E23" s="75" t="s">
        <v>695</v>
      </c>
      <c r="F23" s="75" t="s">
        <v>1597</v>
      </c>
      <c r="G23" s="75" t="str">
        <f>+IF(ISERROR(VLOOKUP(E23,Tareas_Maestro!A:E,5,0)),"",VLOOKUP(E23,Tareas_Maestro!A:E,5,0))</f>
        <v>Generar forecast de llamadas (mensual)</v>
      </c>
      <c r="H23" s="77" t="s">
        <v>1270</v>
      </c>
      <c r="I23" s="75" t="s">
        <v>99</v>
      </c>
    </row>
    <row r="24" spans="1:10" ht="57.6">
      <c r="A24" s="1">
        <v>290</v>
      </c>
      <c r="B24" s="75" t="s">
        <v>116</v>
      </c>
      <c r="C24" s="75" t="s">
        <v>1614</v>
      </c>
      <c r="D24" s="75" t="s">
        <v>120</v>
      </c>
      <c r="E24" s="75" t="s">
        <v>1323</v>
      </c>
      <c r="F24" s="75" t="s">
        <v>1607</v>
      </c>
      <c r="G24" s="75" t="str">
        <f>+IF(ISERROR(VLOOKUP(E24,Tareas_Maestro!A:E,5,0)),"",VLOOKUP(E24,Tareas_Maestro!A:E,5,0))</f>
        <v>Hacer reporte de variación forecast cada 15 min, Calls, AHT, GOS</v>
      </c>
      <c r="H24" s="77" t="s">
        <v>1270</v>
      </c>
      <c r="I24" s="75" t="s">
        <v>99</v>
      </c>
    </row>
    <row r="25" spans="1:10" ht="72">
      <c r="A25" s="74">
        <v>20</v>
      </c>
      <c r="B25" s="75" t="s">
        <v>116</v>
      </c>
      <c r="C25" s="75" t="s">
        <v>1615</v>
      </c>
      <c r="D25" s="75" t="s">
        <v>706</v>
      </c>
      <c r="E25" s="75" t="s">
        <v>703</v>
      </c>
      <c r="F25" s="75" t="s">
        <v>1597</v>
      </c>
      <c r="G25" s="75" t="str">
        <f>+IF(ISERROR(VLOOKUP(E25,Tareas_Maestro!A:E,5,0)),"",VLOOKUP(E25,Tareas_Maestro!A:E,5,0))</f>
        <v>Revisar metodología de forecasting de llamadas</v>
      </c>
      <c r="H25" s="77" t="s">
        <v>1270</v>
      </c>
      <c r="I25" s="75" t="s">
        <v>99</v>
      </c>
    </row>
    <row r="26" spans="1:10" ht="72">
      <c r="A26" s="1">
        <v>291</v>
      </c>
      <c r="B26" s="75" t="s">
        <v>116</v>
      </c>
      <c r="C26" s="75" t="s">
        <v>1615</v>
      </c>
      <c r="D26" s="75" t="s">
        <v>121</v>
      </c>
      <c r="E26" s="75" t="s">
        <v>1325</v>
      </c>
      <c r="F26" s="75" t="s">
        <v>1607</v>
      </c>
      <c r="G26" s="75" t="str">
        <f>+IF(ISERROR(VLOOKUP(E26,Tareas_Maestro!A:E,5,0)),"",VLOOKUP(E26,Tareas_Maestro!A:E,5,0))</f>
        <v>Revisar cada vez que se necesite hacer un re-forecast por variaciones significativas en llamadas, shrinkage, GOS</v>
      </c>
      <c r="H26" s="77" t="s">
        <v>1270</v>
      </c>
      <c r="I26" s="75" t="s">
        <v>99</v>
      </c>
    </row>
    <row r="27" spans="1:10" ht="43.15">
      <c r="A27" s="74">
        <v>21</v>
      </c>
      <c r="B27" s="75" t="s">
        <v>122</v>
      </c>
      <c r="C27" s="75" t="s">
        <v>1616</v>
      </c>
      <c r="D27" s="75" t="s">
        <v>711</v>
      </c>
      <c r="E27" s="75" t="s">
        <v>707</v>
      </c>
      <c r="F27" s="75" t="s">
        <v>1597</v>
      </c>
      <c r="G27" s="75" t="str">
        <f>+IF(ISERROR(VLOOKUP(E27,Tareas_Maestro!A:E,5,0)),"",VLOOKUP(E27,Tareas_Maestro!A:E,5,0))</f>
        <v>Calcular y analizar variación mensual de llamadas</v>
      </c>
      <c r="H27" s="77" t="s">
        <v>1270</v>
      </c>
      <c r="I27" s="75" t="s">
        <v>99</v>
      </c>
    </row>
    <row r="28" spans="1:10" ht="57.6">
      <c r="A28" s="1">
        <v>297</v>
      </c>
      <c r="B28" s="75" t="s">
        <v>122</v>
      </c>
      <c r="C28" s="75" t="s">
        <v>1616</v>
      </c>
      <c r="D28" s="75" t="s">
        <v>123</v>
      </c>
      <c r="E28" s="75" t="s">
        <v>1330</v>
      </c>
      <c r="F28" s="75" t="s">
        <v>1607</v>
      </c>
      <c r="G28" s="75" t="str">
        <f>+IF(ISERROR(VLOOKUP(E28,Tareas_Maestro!A:E,5,0)),"",VLOOKUP(E28,Tareas_Maestro!A:E,5,0))</f>
        <v>Revisar diariamente llamadas reales vs. forecast y hacer comentarios cuando la variación es de +/- 10%</v>
      </c>
      <c r="H28" s="77" t="s">
        <v>1270</v>
      </c>
      <c r="I28" s="75" t="s">
        <v>114</v>
      </c>
      <c r="J28" s="75" t="s">
        <v>1606</v>
      </c>
    </row>
    <row r="29" spans="1:10" ht="57.6">
      <c r="A29" s="74">
        <v>22</v>
      </c>
      <c r="B29" s="75" t="s">
        <v>122</v>
      </c>
      <c r="C29" s="75" t="s">
        <v>1617</v>
      </c>
      <c r="D29" s="75" t="s">
        <v>715</v>
      </c>
      <c r="E29" s="75" t="s">
        <v>707</v>
      </c>
      <c r="F29" s="75" t="s">
        <v>1597</v>
      </c>
      <c r="G29" s="75" t="str">
        <f>+IF(ISERROR(VLOOKUP(E29,Tareas_Maestro!A:E,5,0)),"",VLOOKUP(E29,Tareas_Maestro!A:E,5,0))</f>
        <v>Calcular y analizar variación mensual de llamadas</v>
      </c>
      <c r="H29" s="77" t="s">
        <v>1270</v>
      </c>
      <c r="I29" s="75" t="s">
        <v>99</v>
      </c>
    </row>
    <row r="30" spans="1:10" ht="72">
      <c r="A30" s="1">
        <v>298</v>
      </c>
      <c r="B30" s="75" t="s">
        <v>122</v>
      </c>
      <c r="C30" s="75" t="s">
        <v>1617</v>
      </c>
      <c r="D30" s="75" t="s">
        <v>124</v>
      </c>
      <c r="E30" s="75" t="s">
        <v>1331</v>
      </c>
      <c r="F30" s="75" t="s">
        <v>1607</v>
      </c>
      <c r="G30" s="75" t="str">
        <f>+IF(ISERROR(VLOOKUP(E30,Tareas_Maestro!A:E,5,0)),"",VLOOKUP(E30,Tareas_Maestro!A:E,5,0))</f>
        <v>Realizar y guardar evidencia de re-forecast en WFM tool de acuerdo a variaciones en el volumen actual de llamadas para ajustar manpower</v>
      </c>
      <c r="H30" s="77" t="s">
        <v>1270</v>
      </c>
      <c r="I30" s="75" t="s">
        <v>114</v>
      </c>
      <c r="J30" s="75" t="s">
        <v>1606</v>
      </c>
    </row>
    <row r="31" spans="1:10" ht="43.15">
      <c r="A31" s="74">
        <v>23</v>
      </c>
      <c r="B31" s="75" t="s">
        <v>122</v>
      </c>
      <c r="C31" s="75" t="s">
        <v>1618</v>
      </c>
      <c r="D31" s="75" t="s">
        <v>718</v>
      </c>
      <c r="E31" s="75" t="s">
        <v>707</v>
      </c>
      <c r="F31" s="75" t="s">
        <v>1597</v>
      </c>
      <c r="G31" s="75" t="str">
        <f>+IF(ISERROR(VLOOKUP(E31,Tareas_Maestro!A:E,5,0)),"",VLOOKUP(E31,Tareas_Maestro!A:E,5,0))</f>
        <v>Calcular y analizar variación mensual de llamadas</v>
      </c>
      <c r="H31" s="77" t="s">
        <v>1270</v>
      </c>
      <c r="I31" s="75" t="s">
        <v>99</v>
      </c>
    </row>
    <row r="32" spans="1:10" ht="43.15">
      <c r="A32" s="74">
        <v>24</v>
      </c>
      <c r="B32" s="75" t="s">
        <v>122</v>
      </c>
      <c r="C32" s="75" t="s">
        <v>1619</v>
      </c>
      <c r="D32" s="75" t="s">
        <v>723</v>
      </c>
      <c r="E32" s="75" t="s">
        <v>707</v>
      </c>
      <c r="F32" s="75" t="s">
        <v>1597</v>
      </c>
      <c r="G32" s="75" t="str">
        <f>+IF(ISERROR(VLOOKUP(E32,Tareas_Maestro!A:E,5,0)),"",VLOOKUP(E32,Tareas_Maestro!A:E,5,0))</f>
        <v>Calcular y analizar variación mensual de llamadas</v>
      </c>
      <c r="H32" s="77" t="s">
        <v>1270</v>
      </c>
      <c r="I32" s="75" t="s">
        <v>99</v>
      </c>
    </row>
    <row r="33" spans="1:10" ht="57.6">
      <c r="A33" s="74">
        <v>25</v>
      </c>
      <c r="B33" s="75" t="s">
        <v>122</v>
      </c>
      <c r="C33" s="75" t="s">
        <v>1620</v>
      </c>
      <c r="D33" s="75" t="s">
        <v>727</v>
      </c>
      <c r="E33" s="75" t="s">
        <v>1330</v>
      </c>
      <c r="F33" s="75" t="s">
        <v>1597</v>
      </c>
      <c r="G33" s="75" t="str">
        <f>+IF(ISERROR(VLOOKUP(E33,Tareas_Maestro!A:E,5,0)),"",VLOOKUP(E33,Tareas_Maestro!A:E,5,0))</f>
        <v>Revisar diariamente llamadas reales vs. forecast y hacer comentarios cuando la variación es de +/- 10%</v>
      </c>
      <c r="H33" s="77" t="s">
        <v>1270</v>
      </c>
      <c r="I33" s="75" t="s">
        <v>114</v>
      </c>
      <c r="J33" s="75" t="s">
        <v>1606</v>
      </c>
    </row>
    <row r="34" spans="1:10" ht="57.6">
      <c r="A34" s="74">
        <v>26</v>
      </c>
      <c r="B34" s="75" t="s">
        <v>122</v>
      </c>
      <c r="C34" s="75" t="s">
        <v>1621</v>
      </c>
      <c r="D34" s="75" t="s">
        <v>732</v>
      </c>
      <c r="E34" s="75" t="s">
        <v>1330</v>
      </c>
      <c r="F34" s="75" t="s">
        <v>1597</v>
      </c>
      <c r="G34" s="75" t="str">
        <f>+IF(ISERROR(VLOOKUP(E34,Tareas_Maestro!A:E,5,0)),"",VLOOKUP(E34,Tareas_Maestro!A:E,5,0))</f>
        <v>Revisar diariamente llamadas reales vs. forecast y hacer comentarios cuando la variación es de +/- 10%</v>
      </c>
      <c r="H34" s="77" t="s">
        <v>1270</v>
      </c>
      <c r="I34" s="75" t="s">
        <v>114</v>
      </c>
      <c r="J34" s="75" t="s">
        <v>1606</v>
      </c>
    </row>
    <row r="35" spans="1:10" ht="43.15">
      <c r="A35" s="74">
        <v>27</v>
      </c>
      <c r="B35" s="75" t="s">
        <v>122</v>
      </c>
      <c r="C35" s="75" t="s">
        <v>1622</v>
      </c>
      <c r="D35" s="75" t="s">
        <v>736</v>
      </c>
      <c r="E35" s="75" t="s">
        <v>707</v>
      </c>
      <c r="F35" s="75" t="s">
        <v>1597</v>
      </c>
      <c r="G35" s="75" t="str">
        <f>+IF(ISERROR(VLOOKUP(E35,Tareas_Maestro!A:E,5,0)),"",VLOOKUP(E35,Tareas_Maestro!A:E,5,0))</f>
        <v>Calcular y analizar variación mensual de llamadas</v>
      </c>
      <c r="H35" s="77" t="s">
        <v>1270</v>
      </c>
      <c r="I35" s="75" t="s">
        <v>99</v>
      </c>
    </row>
    <row r="36" spans="1:10" ht="72">
      <c r="A36" s="74">
        <v>28</v>
      </c>
      <c r="B36" s="75" t="s">
        <v>130</v>
      </c>
      <c r="C36" s="75" t="s">
        <v>1623</v>
      </c>
      <c r="D36" s="75" t="s">
        <v>742</v>
      </c>
      <c r="E36" s="75" t="s">
        <v>712</v>
      </c>
      <c r="F36" s="75" t="s">
        <v>1597</v>
      </c>
      <c r="G36" s="75" t="str">
        <f>+IF(ISERROR(VLOOKUP(E36,Tareas_Maestro!A:E,5,0)),"",VLOOKUP(E36,Tareas_Maestro!A:E,5,0))</f>
        <v>Generar forecast de chats (mensual)</v>
      </c>
      <c r="H36" s="77" t="s">
        <v>1270</v>
      </c>
      <c r="I36" s="75" t="s">
        <v>99</v>
      </c>
    </row>
    <row r="37" spans="1:10" ht="57.6">
      <c r="A37" s="74">
        <v>29</v>
      </c>
      <c r="B37" s="75" t="s">
        <v>130</v>
      </c>
      <c r="C37" s="75" t="s">
        <v>1624</v>
      </c>
      <c r="D37" s="75" t="s">
        <v>747</v>
      </c>
      <c r="E37" s="75" t="s">
        <v>712</v>
      </c>
      <c r="F37" s="75" t="s">
        <v>1597</v>
      </c>
      <c r="G37" s="75" t="str">
        <f>+IF(ISERROR(VLOOKUP(E37,Tareas_Maestro!A:E,5,0)),"",VLOOKUP(E37,Tareas_Maestro!A:E,5,0))</f>
        <v>Generar forecast de chats (mensual)</v>
      </c>
      <c r="H37" s="77" t="s">
        <v>1270</v>
      </c>
      <c r="I37" s="75" t="s">
        <v>99</v>
      </c>
    </row>
    <row r="38" spans="1:10" ht="43.15">
      <c r="A38" s="74">
        <v>30</v>
      </c>
      <c r="B38" s="75" t="s">
        <v>130</v>
      </c>
      <c r="C38" s="75" t="s">
        <v>1625</v>
      </c>
      <c r="D38" s="75" t="s">
        <v>752</v>
      </c>
      <c r="E38" s="75" t="s">
        <v>712</v>
      </c>
      <c r="F38" s="75" t="s">
        <v>1597</v>
      </c>
      <c r="G38" s="75" t="str">
        <f>+IF(ISERROR(VLOOKUP(E38,Tareas_Maestro!A:E,5,0)),"",VLOOKUP(E38,Tareas_Maestro!A:E,5,0))</f>
        <v>Generar forecast de chats (mensual)</v>
      </c>
      <c r="H38" s="77" t="s">
        <v>1270</v>
      </c>
      <c r="I38" s="75" t="s">
        <v>99</v>
      </c>
    </row>
    <row r="39" spans="1:10" ht="57.6">
      <c r="A39" s="74">
        <v>31</v>
      </c>
      <c r="B39" s="75" t="s">
        <v>130</v>
      </c>
      <c r="C39" s="75" t="s">
        <v>1626</v>
      </c>
      <c r="D39" s="75" t="s">
        <v>757</v>
      </c>
      <c r="E39" s="75" t="s">
        <v>712</v>
      </c>
      <c r="F39" s="75" t="s">
        <v>1597</v>
      </c>
      <c r="G39" s="75" t="str">
        <f>+IF(ISERROR(VLOOKUP(E39,Tareas_Maestro!A:E,5,0)),"",VLOOKUP(E39,Tareas_Maestro!A:E,5,0))</f>
        <v>Generar forecast de chats (mensual)</v>
      </c>
      <c r="H39" s="77" t="s">
        <v>1270</v>
      </c>
      <c r="I39" s="75" t="s">
        <v>99</v>
      </c>
    </row>
    <row r="40" spans="1:10" ht="72">
      <c r="A40" s="74">
        <v>32</v>
      </c>
      <c r="B40" s="75" t="s">
        <v>130</v>
      </c>
      <c r="C40" s="75" t="s">
        <v>1627</v>
      </c>
      <c r="D40" s="75" t="s">
        <v>762</v>
      </c>
      <c r="E40" s="75" t="s">
        <v>712</v>
      </c>
      <c r="F40" s="75" t="s">
        <v>1597</v>
      </c>
      <c r="G40" s="75" t="str">
        <f>+IF(ISERROR(VLOOKUP(E40,Tareas_Maestro!A:E,5,0)),"",VLOOKUP(E40,Tareas_Maestro!A:E,5,0))</f>
        <v>Generar forecast de chats (mensual)</v>
      </c>
      <c r="H40" s="77" t="s">
        <v>1270</v>
      </c>
      <c r="I40" s="75" t="s">
        <v>99</v>
      </c>
    </row>
    <row r="41" spans="1:10" ht="43.15">
      <c r="A41" s="74">
        <v>33</v>
      </c>
      <c r="B41" s="75" t="s">
        <v>136</v>
      </c>
      <c r="C41" s="75" t="s">
        <v>1628</v>
      </c>
      <c r="D41" s="75" t="s">
        <v>767</v>
      </c>
      <c r="E41" s="75" t="s">
        <v>716</v>
      </c>
      <c r="F41" s="75" t="s">
        <v>1597</v>
      </c>
      <c r="G41" s="75" t="str">
        <f>+IF(ISERROR(VLOOKUP(E41,Tareas_Maestro!A:E,5,0)),"",VLOOKUP(E41,Tareas_Maestro!A:E,5,0))</f>
        <v>Calcular y analizar variación mensual de chats</v>
      </c>
      <c r="H41" s="77" t="s">
        <v>1270</v>
      </c>
      <c r="I41" s="75" t="s">
        <v>99</v>
      </c>
    </row>
    <row r="42" spans="1:10" ht="57.6">
      <c r="A42" s="74">
        <v>34</v>
      </c>
      <c r="B42" s="75" t="s">
        <v>136</v>
      </c>
      <c r="C42" s="75" t="s">
        <v>1629</v>
      </c>
      <c r="D42" s="75" t="s">
        <v>771</v>
      </c>
      <c r="E42" s="75" t="s">
        <v>716</v>
      </c>
      <c r="F42" s="75" t="s">
        <v>1597</v>
      </c>
      <c r="G42" s="75" t="str">
        <f>+IF(ISERROR(VLOOKUP(E42,Tareas_Maestro!A:E,5,0)),"",VLOOKUP(E42,Tareas_Maestro!A:E,5,0))</f>
        <v>Calcular y analizar variación mensual de chats</v>
      </c>
      <c r="H42" s="77" t="s">
        <v>1270</v>
      </c>
      <c r="I42" s="75" t="s">
        <v>99</v>
      </c>
    </row>
    <row r="43" spans="1:10" ht="43.15">
      <c r="A43" s="74">
        <v>35</v>
      </c>
      <c r="B43" s="75" t="s">
        <v>136</v>
      </c>
      <c r="C43" s="75" t="s">
        <v>1630</v>
      </c>
      <c r="D43" s="75" t="s">
        <v>775</v>
      </c>
      <c r="E43" s="75" t="s">
        <v>716</v>
      </c>
      <c r="F43" s="75" t="s">
        <v>1597</v>
      </c>
      <c r="G43" s="75" t="str">
        <f>+IF(ISERROR(VLOOKUP(E43,Tareas_Maestro!A:E,5,0)),"",VLOOKUP(E43,Tareas_Maestro!A:E,5,0))</f>
        <v>Calcular y analizar variación mensual de chats</v>
      </c>
      <c r="H43" s="77" t="s">
        <v>1270</v>
      </c>
      <c r="I43" s="75" t="s">
        <v>99</v>
      </c>
    </row>
    <row r="44" spans="1:10" ht="43.15">
      <c r="A44" s="74">
        <v>36</v>
      </c>
      <c r="B44" s="75" t="s">
        <v>136</v>
      </c>
      <c r="C44" s="75" t="s">
        <v>1631</v>
      </c>
      <c r="D44" s="75" t="s">
        <v>779</v>
      </c>
      <c r="E44" s="75" t="s">
        <v>716</v>
      </c>
      <c r="F44" s="75" t="s">
        <v>1597</v>
      </c>
      <c r="G44" s="75" t="str">
        <f>+IF(ISERROR(VLOOKUP(E44,Tareas_Maestro!A:E,5,0)),"",VLOOKUP(E44,Tareas_Maestro!A:E,5,0))</f>
        <v>Calcular y analizar variación mensual de chats</v>
      </c>
      <c r="H44" s="77" t="s">
        <v>1270</v>
      </c>
      <c r="I44" s="75" t="s">
        <v>99</v>
      </c>
    </row>
    <row r="45" spans="1:10" ht="43.15">
      <c r="A45" s="74">
        <v>37</v>
      </c>
      <c r="B45" s="75" t="s">
        <v>136</v>
      </c>
      <c r="C45" s="75" t="s">
        <v>1632</v>
      </c>
      <c r="D45" s="75" t="s">
        <v>727</v>
      </c>
      <c r="E45" s="75" t="s">
        <v>716</v>
      </c>
      <c r="F45" s="75" t="s">
        <v>1597</v>
      </c>
      <c r="G45" s="75" t="str">
        <f>+IF(ISERROR(VLOOKUP(E45,Tareas_Maestro!A:E,5,0)),"",VLOOKUP(E45,Tareas_Maestro!A:E,5,0))</f>
        <v>Calcular y analizar variación mensual de chats</v>
      </c>
      <c r="H45" s="77" t="s">
        <v>1270</v>
      </c>
      <c r="I45" s="75" t="s">
        <v>99</v>
      </c>
    </row>
    <row r="46" spans="1:10" ht="43.15">
      <c r="A46" s="74">
        <v>38</v>
      </c>
      <c r="B46" s="75" t="s">
        <v>136</v>
      </c>
      <c r="C46" s="75" t="s">
        <v>1633</v>
      </c>
      <c r="D46" s="75" t="s">
        <v>732</v>
      </c>
      <c r="E46" s="75" t="s">
        <v>716</v>
      </c>
      <c r="F46" s="75" t="s">
        <v>1597</v>
      </c>
      <c r="G46" s="75" t="str">
        <f>+IF(ISERROR(VLOOKUP(E46,Tareas_Maestro!A:E,5,0)),"",VLOOKUP(E46,Tareas_Maestro!A:E,5,0))</f>
        <v>Calcular y analizar variación mensual de chats</v>
      </c>
      <c r="H46" s="77" t="s">
        <v>1270</v>
      </c>
      <c r="I46" s="75" t="s">
        <v>99</v>
      </c>
    </row>
    <row r="47" spans="1:10" ht="43.15">
      <c r="A47" s="74">
        <v>39</v>
      </c>
      <c r="B47" s="75" t="s">
        <v>136</v>
      </c>
      <c r="C47" s="75" t="s">
        <v>1634</v>
      </c>
      <c r="D47" s="75" t="s">
        <v>792</v>
      </c>
      <c r="E47" s="75" t="s">
        <v>716</v>
      </c>
      <c r="F47" s="75" t="s">
        <v>1597</v>
      </c>
      <c r="G47" s="75" t="str">
        <f>+IF(ISERROR(VLOOKUP(E47,Tareas_Maestro!A:E,5,0)),"",VLOOKUP(E47,Tareas_Maestro!A:E,5,0))</f>
        <v>Calcular y analizar variación mensual de chats</v>
      </c>
      <c r="H47" s="77" t="s">
        <v>1270</v>
      </c>
      <c r="I47" s="75" t="s">
        <v>99</v>
      </c>
    </row>
    <row r="48" spans="1:10" ht="57.6">
      <c r="A48" s="74">
        <v>40</v>
      </c>
      <c r="B48" s="75" t="s">
        <v>142</v>
      </c>
      <c r="C48" s="75" t="s">
        <v>1635</v>
      </c>
      <c r="D48" s="75" t="s">
        <v>798</v>
      </c>
      <c r="E48" s="75" t="s">
        <v>724</v>
      </c>
      <c r="F48" s="75" t="s">
        <v>1597</v>
      </c>
      <c r="G48" s="75" t="str">
        <f>+IF(ISERROR(VLOOKUP(E48,Tareas_Maestro!A:E,5,0)),"",VLOOKUP(E48,Tareas_Maestro!A:E,5,0))</f>
        <v>Monitoreo en Tiempo Real (RTA) de adherencia y metricas fuera de lo normal (AHT, ACW prolongados, etc.)</v>
      </c>
      <c r="H48" s="77" t="s">
        <v>1270</v>
      </c>
      <c r="I48" s="75" t="s">
        <v>114</v>
      </c>
      <c r="J48" s="75" t="s">
        <v>1606</v>
      </c>
    </row>
    <row r="49" spans="1:10" ht="57.6">
      <c r="A49" s="74">
        <v>41</v>
      </c>
      <c r="B49" s="75" t="s">
        <v>142</v>
      </c>
      <c r="C49" s="75" t="s">
        <v>1636</v>
      </c>
      <c r="D49" s="75" t="s">
        <v>803</v>
      </c>
      <c r="E49" s="75" t="s">
        <v>724</v>
      </c>
      <c r="F49" s="75" t="s">
        <v>1597</v>
      </c>
      <c r="G49" s="75" t="str">
        <f>+IF(ISERROR(VLOOKUP(E49,Tareas_Maestro!A:E,5,0)),"",VLOOKUP(E49,Tareas_Maestro!A:E,5,0))</f>
        <v>Monitoreo en Tiempo Real (RTA) de adherencia y metricas fuera de lo normal (AHT, ACW prolongados, etc.)</v>
      </c>
      <c r="H49" s="77" t="s">
        <v>1270</v>
      </c>
      <c r="I49" s="75" t="s">
        <v>114</v>
      </c>
      <c r="J49" s="75" t="s">
        <v>1606</v>
      </c>
    </row>
    <row r="50" spans="1:10" ht="57.6">
      <c r="A50" s="74">
        <v>42</v>
      </c>
      <c r="B50" s="75" t="s">
        <v>142</v>
      </c>
      <c r="C50" s="75" t="s">
        <v>1637</v>
      </c>
      <c r="D50" s="75" t="s">
        <v>808</v>
      </c>
      <c r="E50" s="75" t="s">
        <v>724</v>
      </c>
      <c r="F50" s="75" t="s">
        <v>1597</v>
      </c>
      <c r="G50" s="75" t="str">
        <f>+IF(ISERROR(VLOOKUP(E50,Tareas_Maestro!A:E,5,0)),"",VLOOKUP(E50,Tareas_Maestro!A:E,5,0))</f>
        <v>Monitoreo en Tiempo Real (RTA) de adherencia y metricas fuera de lo normal (AHT, ACW prolongados, etc.)</v>
      </c>
      <c r="H50" s="77" t="s">
        <v>1270</v>
      </c>
      <c r="I50" s="75" t="s">
        <v>114</v>
      </c>
      <c r="J50" s="75" t="s">
        <v>1606</v>
      </c>
    </row>
    <row r="51" spans="1:10" ht="57.6">
      <c r="A51" s="74">
        <v>43</v>
      </c>
      <c r="B51" s="75" t="s">
        <v>142</v>
      </c>
      <c r="C51" s="75" t="s">
        <v>1638</v>
      </c>
      <c r="D51" s="75" t="s">
        <v>813</v>
      </c>
      <c r="E51" s="75" t="s">
        <v>719</v>
      </c>
      <c r="F51" s="75" t="s">
        <v>1597</v>
      </c>
      <c r="G51" s="75" t="str">
        <f>+IF(ISERROR(VLOOKUP(E51,Tareas_Maestro!A:E,5,0)),"",VLOOKUP(E51,Tareas_Maestro!A:E,5,0))</f>
        <v>Generar requerimientos de staffing y ajustar horarios</v>
      </c>
      <c r="H51" s="77" t="s">
        <v>1270</v>
      </c>
      <c r="I51" s="75" t="s">
        <v>99</v>
      </c>
    </row>
    <row r="52" spans="1:10" ht="43.15">
      <c r="A52" s="74">
        <v>44</v>
      </c>
      <c r="B52" s="75" t="s">
        <v>142</v>
      </c>
      <c r="C52" s="75" t="s">
        <v>1639</v>
      </c>
      <c r="D52" s="75" t="s">
        <v>818</v>
      </c>
      <c r="E52" s="75" t="s">
        <v>728</v>
      </c>
      <c r="F52" s="75" t="s">
        <v>1597</v>
      </c>
      <c r="G52" s="75" t="str">
        <f>+IF(ISERROR(VLOOKUP(E52,Tareas_Maestro!A:E,5,0)),"",VLOOKUP(E52,Tareas_Maestro!A:E,5,0))</f>
        <v>Revisar y ejecutar planes para periodos de baja actividad</v>
      </c>
      <c r="H52" s="77" t="s">
        <v>1270</v>
      </c>
      <c r="I52" s="75" t="s">
        <v>99</v>
      </c>
    </row>
    <row r="53" spans="1:10" ht="57.6">
      <c r="A53" s="74">
        <v>45</v>
      </c>
      <c r="B53" s="75" t="s">
        <v>142</v>
      </c>
      <c r="C53" s="75" t="s">
        <v>1640</v>
      </c>
      <c r="D53" s="75" t="s">
        <v>823</v>
      </c>
      <c r="E53" s="75" t="s">
        <v>724</v>
      </c>
      <c r="F53" s="75" t="s">
        <v>1597</v>
      </c>
      <c r="G53" s="75" t="str">
        <f>+IF(ISERROR(VLOOKUP(E53,Tareas_Maestro!A:E,5,0)),"",VLOOKUP(E53,Tareas_Maestro!A:E,5,0))</f>
        <v>Monitoreo en Tiempo Real (RTA) de adherencia y metricas fuera de lo normal (AHT, ACW prolongados, etc.)</v>
      </c>
      <c r="H53" s="77" t="s">
        <v>1270</v>
      </c>
      <c r="I53" s="75" t="s">
        <v>114</v>
      </c>
      <c r="J53" s="75" t="s">
        <v>1606</v>
      </c>
    </row>
    <row r="54" spans="1:10" ht="57.6">
      <c r="A54" s="74">
        <v>46</v>
      </c>
      <c r="B54" s="75" t="s">
        <v>149</v>
      </c>
      <c r="C54" s="75" t="s">
        <v>1641</v>
      </c>
      <c r="D54" s="75" t="s">
        <v>828</v>
      </c>
      <c r="E54" s="75" t="s">
        <v>733</v>
      </c>
      <c r="F54" s="75" t="s">
        <v>1597</v>
      </c>
      <c r="G54" s="75" t="str">
        <f>+IF(ISERROR(VLOOKUP(E54,Tareas_Maestro!A:E,5,0)),"",VLOOKUP(E54,Tareas_Maestro!A:E,5,0))</f>
        <v>Generar forecast de carga de trabajo BL/KAD (mensual)</v>
      </c>
      <c r="H54" s="77" t="s">
        <v>1270</v>
      </c>
      <c r="I54" s="75" t="s">
        <v>99</v>
      </c>
    </row>
    <row r="55" spans="1:10" ht="57.6">
      <c r="A55" s="74">
        <v>47</v>
      </c>
      <c r="B55" s="75" t="s">
        <v>149</v>
      </c>
      <c r="C55" s="75" t="s">
        <v>1642</v>
      </c>
      <c r="D55" s="75" t="s">
        <v>833</v>
      </c>
      <c r="E55" s="75" t="s">
        <v>733</v>
      </c>
      <c r="F55" s="75" t="s">
        <v>1597</v>
      </c>
      <c r="G55" s="75" t="str">
        <f>+IF(ISERROR(VLOOKUP(E55,Tareas_Maestro!A:E,5,0)),"",VLOOKUP(E55,Tareas_Maestro!A:E,5,0))</f>
        <v>Generar forecast de carga de trabajo BL/KAD (mensual)</v>
      </c>
      <c r="H55" s="77" t="s">
        <v>1270</v>
      </c>
      <c r="I55" s="75" t="s">
        <v>99</v>
      </c>
    </row>
    <row r="56" spans="1:10" ht="43.15">
      <c r="A56" s="74">
        <v>48</v>
      </c>
      <c r="B56" s="75" t="s">
        <v>149</v>
      </c>
      <c r="C56" s="75" t="s">
        <v>1643</v>
      </c>
      <c r="D56" s="75" t="s">
        <v>837</v>
      </c>
      <c r="E56" s="75" t="s">
        <v>733</v>
      </c>
      <c r="F56" s="75" t="s">
        <v>1597</v>
      </c>
      <c r="G56" s="75" t="str">
        <f>+IF(ISERROR(VLOOKUP(E56,Tareas_Maestro!A:E,5,0)),"",VLOOKUP(E56,Tareas_Maestro!A:E,5,0))</f>
        <v>Generar forecast de carga de trabajo BL/KAD (mensual)</v>
      </c>
      <c r="H56" s="77" t="s">
        <v>1270</v>
      </c>
      <c r="I56" s="75" t="s">
        <v>99</v>
      </c>
    </row>
    <row r="57" spans="1:10" ht="43.15">
      <c r="A57" s="74">
        <v>49</v>
      </c>
      <c r="B57" s="75" t="s">
        <v>149</v>
      </c>
      <c r="C57" s="75" t="s">
        <v>1644</v>
      </c>
      <c r="D57" s="75" t="s">
        <v>842</v>
      </c>
      <c r="E57" s="75" t="s">
        <v>733</v>
      </c>
      <c r="F57" s="75" t="s">
        <v>1597</v>
      </c>
      <c r="G57" s="75" t="str">
        <f>+IF(ISERROR(VLOOKUP(E57,Tareas_Maestro!A:E,5,0)),"",VLOOKUP(E57,Tareas_Maestro!A:E,5,0))</f>
        <v>Generar forecast de carga de trabajo BL/KAD (mensual)</v>
      </c>
      <c r="H57" s="77" t="s">
        <v>1270</v>
      </c>
      <c r="I57" s="75" t="s">
        <v>99</v>
      </c>
    </row>
    <row r="58" spans="1:10" ht="43.15">
      <c r="A58" s="1">
        <v>293</v>
      </c>
      <c r="B58" s="75" t="s">
        <v>149</v>
      </c>
      <c r="C58" s="75" t="s">
        <v>1644</v>
      </c>
      <c r="D58" s="75" t="s">
        <v>153</v>
      </c>
      <c r="E58" s="75" t="s">
        <v>1349</v>
      </c>
      <c r="F58" s="75" t="s">
        <v>1607</v>
      </c>
      <c r="G58" s="75" t="str">
        <f>+IF(ISERROR(VLOOKUP(E58,Tareas_Maestro!A:E,5,0)),"",VLOOKUP(E58,Tareas_Maestro!A:E,5,0))</f>
        <v>Revisar precisión del forecast de BL/KAD</v>
      </c>
      <c r="H58" s="77" t="s">
        <v>1270</v>
      </c>
      <c r="I58" s="75" t="s">
        <v>99</v>
      </c>
    </row>
    <row r="59" spans="1:10" ht="57.6">
      <c r="A59" s="74">
        <v>50</v>
      </c>
      <c r="B59" s="75" t="s">
        <v>149</v>
      </c>
      <c r="C59" s="75" t="s">
        <v>1645</v>
      </c>
      <c r="D59" s="75" t="s">
        <v>846</v>
      </c>
      <c r="E59" s="75" t="s">
        <v>733</v>
      </c>
      <c r="F59" s="75" t="s">
        <v>1597</v>
      </c>
      <c r="G59" s="75" t="str">
        <f>+IF(ISERROR(VLOOKUP(E59,Tareas_Maestro!A:E,5,0)),"",VLOOKUP(E59,Tareas_Maestro!A:E,5,0))</f>
        <v>Generar forecast de carga de trabajo BL/KAD (mensual)</v>
      </c>
      <c r="H59" s="77" t="s">
        <v>1270</v>
      </c>
      <c r="I59" s="75" t="s">
        <v>99</v>
      </c>
    </row>
    <row r="60" spans="1:10" ht="57.6">
      <c r="A60" s="1">
        <v>294</v>
      </c>
      <c r="B60" s="75" t="s">
        <v>149</v>
      </c>
      <c r="C60" s="75" t="s">
        <v>1645</v>
      </c>
      <c r="D60" s="75" t="s">
        <v>154</v>
      </c>
      <c r="E60" s="75" t="s">
        <v>1350</v>
      </c>
      <c r="F60" s="75" t="s">
        <v>1607</v>
      </c>
      <c r="G60" s="75" t="str">
        <f>+IF(ISERROR(VLOOKUP(E60,Tareas_Maestro!A:E,5,0)),"",VLOOKUP(E60,Tareas_Maestro!A:E,5,0))</f>
        <v>Realizar Time &amp; Motion BL y KAD</v>
      </c>
      <c r="H60" s="77" t="s">
        <v>1270</v>
      </c>
      <c r="I60" s="75" t="s">
        <v>99</v>
      </c>
    </row>
    <row r="61" spans="1:10" ht="57.6">
      <c r="A61" s="74">
        <v>51</v>
      </c>
      <c r="B61" s="75" t="s">
        <v>149</v>
      </c>
      <c r="C61" s="75" t="s">
        <v>1646</v>
      </c>
      <c r="D61" s="75" t="s">
        <v>851</v>
      </c>
      <c r="E61" s="75" t="s">
        <v>737</v>
      </c>
      <c r="F61" s="75" t="s">
        <v>1597</v>
      </c>
      <c r="G61" s="75" t="str">
        <f>+IF(ISERROR(VLOOKUP(E61,Tareas_Maestro!A:E,5,0)),"",VLOOKUP(E61,Tareas_Maestro!A:E,5,0))</f>
        <v>Monitorear y analizar workload diario BL/KAD</v>
      </c>
      <c r="H61" s="77" t="s">
        <v>1270</v>
      </c>
      <c r="I61" s="75" t="s">
        <v>114</v>
      </c>
      <c r="J61" s="75" t="s">
        <v>1606</v>
      </c>
    </row>
    <row r="62" spans="1:10" ht="43.15">
      <c r="A62" s="74">
        <v>52</v>
      </c>
      <c r="B62" s="75" t="s">
        <v>149</v>
      </c>
      <c r="C62" s="75" t="s">
        <v>1647</v>
      </c>
      <c r="D62" s="75" t="s">
        <v>856</v>
      </c>
      <c r="E62" s="75" t="s">
        <v>737</v>
      </c>
      <c r="F62" s="75" t="s">
        <v>1597</v>
      </c>
      <c r="G62" s="75" t="str">
        <f>+IF(ISERROR(VLOOKUP(E62,Tareas_Maestro!A:E,5,0)),"",VLOOKUP(E62,Tareas_Maestro!A:E,5,0))</f>
        <v>Monitorear y analizar workload diario BL/KAD</v>
      </c>
      <c r="H62" s="77" t="s">
        <v>1270</v>
      </c>
      <c r="I62" s="75" t="s">
        <v>114</v>
      </c>
      <c r="J62" s="75" t="s">
        <v>1606</v>
      </c>
    </row>
    <row r="63" spans="1:10" ht="43.15">
      <c r="A63" s="1">
        <v>295</v>
      </c>
      <c r="B63" s="75" t="s">
        <v>149</v>
      </c>
      <c r="C63" s="75" t="s">
        <v>1647</v>
      </c>
      <c r="D63" s="75" t="s">
        <v>156</v>
      </c>
      <c r="E63" s="75" t="s">
        <v>1351</v>
      </c>
      <c r="F63" s="75" t="s">
        <v>1607</v>
      </c>
      <c r="G63" s="75" t="str">
        <f>+IF(ISERROR(VLOOKUP(E63,Tareas_Maestro!A:E,5,0)),"",VLOOKUP(E63,Tareas_Maestro!A:E,5,0))</f>
        <v>Analizar Shrinkage BL/KAD</v>
      </c>
      <c r="H63" s="77" t="s">
        <v>1270</v>
      </c>
      <c r="I63" s="75" t="s">
        <v>99</v>
      </c>
    </row>
    <row r="64" spans="1:10" ht="57.6">
      <c r="A64" s="74">
        <v>53</v>
      </c>
      <c r="B64" s="75" t="s">
        <v>149</v>
      </c>
      <c r="C64" s="75" t="s">
        <v>1648</v>
      </c>
      <c r="D64" s="75" t="s">
        <v>861</v>
      </c>
      <c r="E64" s="75" t="s">
        <v>733</v>
      </c>
      <c r="F64" s="75" t="s">
        <v>1597</v>
      </c>
      <c r="G64" s="75" t="str">
        <f>+IF(ISERROR(VLOOKUP(E64,Tareas_Maestro!A:E,5,0)),"",VLOOKUP(E64,Tareas_Maestro!A:E,5,0))</f>
        <v>Generar forecast de carga de trabajo BL/KAD (mensual)</v>
      </c>
      <c r="H64" s="77" t="s">
        <v>1270</v>
      </c>
      <c r="I64" s="75" t="s">
        <v>99</v>
      </c>
    </row>
    <row r="65" spans="1:10" ht="43.15">
      <c r="A65" s="74">
        <v>54</v>
      </c>
      <c r="B65" s="75" t="s">
        <v>149</v>
      </c>
      <c r="C65" s="75" t="s">
        <v>1649</v>
      </c>
      <c r="D65" s="75" t="s">
        <v>865</v>
      </c>
      <c r="E65" s="75" t="s">
        <v>737</v>
      </c>
      <c r="F65" s="75" t="s">
        <v>1597</v>
      </c>
      <c r="G65" s="75" t="str">
        <f>+IF(ISERROR(VLOOKUP(E65,Tareas_Maestro!A:E,5,0)),"",VLOOKUP(E65,Tareas_Maestro!A:E,5,0))</f>
        <v>Monitorear y analizar workload diario BL/KAD</v>
      </c>
      <c r="H65" s="77" t="s">
        <v>1270</v>
      </c>
      <c r="I65" s="75" t="s">
        <v>114</v>
      </c>
      <c r="J65" s="75" t="s">
        <v>1606</v>
      </c>
    </row>
    <row r="66" spans="1:10" ht="43.15">
      <c r="A66" s="1">
        <v>296</v>
      </c>
      <c r="B66" s="75" t="s">
        <v>149</v>
      </c>
      <c r="C66" s="75" t="s">
        <v>1649</v>
      </c>
      <c r="D66" s="75" t="s">
        <v>158</v>
      </c>
      <c r="E66" s="75" t="s">
        <v>1352</v>
      </c>
      <c r="F66" s="75" t="s">
        <v>1607</v>
      </c>
      <c r="G66" s="75" t="str">
        <f>+IF(ISERROR(VLOOKUP(E66,Tareas_Maestro!A:E,5,0)),"",VLOOKUP(E66,Tareas_Maestro!A:E,5,0))</f>
        <v>Realizar workload KAD trimestral para balancear carteras de ser necesario</v>
      </c>
      <c r="H66" s="77" t="s">
        <v>1270</v>
      </c>
      <c r="I66" s="75" t="s">
        <v>99</v>
      </c>
    </row>
    <row r="67" spans="1:10" ht="129.6">
      <c r="A67" s="74">
        <v>55</v>
      </c>
      <c r="B67" s="75" t="s">
        <v>159</v>
      </c>
      <c r="C67" s="75" t="s">
        <v>1650</v>
      </c>
      <c r="D67" s="75" t="s">
        <v>870</v>
      </c>
      <c r="E67" s="75" t="s">
        <v>743</v>
      </c>
      <c r="F67" s="75" t="s">
        <v>1597</v>
      </c>
      <c r="G67" s="75" t="str">
        <f>+IF(ISERROR(VLOOKUP(E67,Tareas_Maestro!A:E,5,0)),"",VLOOKUP(E67,Tareas_Maestro!A:E,5,0))</f>
        <v>Definir y revisar plan de gestión de desbordamiento</v>
      </c>
      <c r="H67" s="77" t="s">
        <v>1270</v>
      </c>
      <c r="I67" s="75" t="s">
        <v>99</v>
      </c>
    </row>
    <row r="68" spans="1:10" ht="115.15">
      <c r="A68" s="74">
        <v>56</v>
      </c>
      <c r="B68" s="75" t="s">
        <v>159</v>
      </c>
      <c r="C68" s="75" t="s">
        <v>1651</v>
      </c>
      <c r="D68" s="75" t="s">
        <v>875</v>
      </c>
      <c r="E68" s="75" t="s">
        <v>743</v>
      </c>
      <c r="F68" s="75" t="s">
        <v>1597</v>
      </c>
      <c r="G68" s="75" t="str">
        <f>+IF(ISERROR(VLOOKUP(E68,Tareas_Maestro!A:E,5,0)),"",VLOOKUP(E68,Tareas_Maestro!A:E,5,0))</f>
        <v>Definir y revisar plan de gestión de desbordamiento</v>
      </c>
      <c r="H68" s="77" t="s">
        <v>1270</v>
      </c>
      <c r="I68" s="75" t="s">
        <v>99</v>
      </c>
    </row>
    <row r="69" spans="1:10" ht="43.15">
      <c r="A69" s="74">
        <v>57</v>
      </c>
      <c r="B69" s="75" t="s">
        <v>162</v>
      </c>
      <c r="C69" s="75" t="s">
        <v>1652</v>
      </c>
      <c r="D69" s="75" t="s">
        <v>881</v>
      </c>
      <c r="E69" s="75" t="s">
        <v>763</v>
      </c>
      <c r="F69" s="75" t="s">
        <v>1597</v>
      </c>
      <c r="G69" s="75" t="str">
        <f>+IF(ISERROR(VLOOKUP(E69,Tareas_Maestro!A:E,5,0)),"",VLOOKUP(E69,Tareas_Maestro!A:E,5,0))</f>
        <v>Planificar y aprobar vacaciones anuales/semestrales</v>
      </c>
      <c r="H69" s="77" t="s">
        <v>1270</v>
      </c>
      <c r="I69" s="75" t="s">
        <v>99</v>
      </c>
    </row>
    <row r="70" spans="1:10" ht="28.9">
      <c r="A70" s="74">
        <v>58</v>
      </c>
      <c r="B70" s="75" t="s">
        <v>162</v>
      </c>
      <c r="C70" s="75" t="s">
        <v>1653</v>
      </c>
      <c r="D70" s="75" t="s">
        <v>886</v>
      </c>
      <c r="E70" s="75" t="s">
        <v>768</v>
      </c>
      <c r="F70" s="75" t="s">
        <v>1597</v>
      </c>
      <c r="G70" s="75" t="str">
        <f>+IF(ISERROR(VLOOKUP(E70,Tareas_Maestro!A:E,5,0)),"",VLOOKUP(E70,Tareas_Maestro!A:E,5,0))</f>
        <v>Rastrear y registrar ausencias</v>
      </c>
      <c r="H70" s="77" t="s">
        <v>1270</v>
      </c>
      <c r="I70" s="75" t="s">
        <v>114</v>
      </c>
      <c r="J70" s="75" t="s">
        <v>1606</v>
      </c>
    </row>
    <row r="71" spans="1:10" ht="43.15">
      <c r="A71" s="74">
        <v>59</v>
      </c>
      <c r="B71" s="75" t="s">
        <v>162</v>
      </c>
      <c r="C71" s="75" t="s">
        <v>1654</v>
      </c>
      <c r="D71" s="75" t="s">
        <v>891</v>
      </c>
      <c r="E71" s="75" t="s">
        <v>768</v>
      </c>
      <c r="F71" s="75" t="s">
        <v>1597</v>
      </c>
      <c r="G71" s="75" t="str">
        <f>+IF(ISERROR(VLOOKUP(E71,Tareas_Maestro!A:E,5,0)),"",VLOOKUP(E71,Tareas_Maestro!A:E,5,0))</f>
        <v>Rastrear y registrar ausencias</v>
      </c>
      <c r="H71" s="77" t="s">
        <v>1270</v>
      </c>
      <c r="I71" s="75" t="s">
        <v>114</v>
      </c>
      <c r="J71" s="75" t="s">
        <v>1606</v>
      </c>
    </row>
    <row r="72" spans="1:10" ht="43.15">
      <c r="A72" s="1">
        <v>319</v>
      </c>
      <c r="B72" s="75" t="s">
        <v>162</v>
      </c>
      <c r="C72" s="75" t="s">
        <v>1654</v>
      </c>
      <c r="D72" s="75" t="s">
        <v>165</v>
      </c>
      <c r="E72" s="75" t="s">
        <v>1366</v>
      </c>
      <c r="F72" s="75" t="s">
        <v>1607</v>
      </c>
      <c r="G72" s="75" t="str">
        <f>+IF(ISERROR(VLOOKUP(E72,Tareas_Maestro!A:E,5,0)),"",VLOOKUP(E72,Tareas_Maestro!A:E,5,0))</f>
        <v>Revisar tendencia de ausencias y hacer planes de acción para corregir y guardar la evidencia</v>
      </c>
      <c r="H72" s="77" t="s">
        <v>1270</v>
      </c>
      <c r="I72" s="75" t="s">
        <v>99</v>
      </c>
    </row>
    <row r="73" spans="1:10" ht="43.15">
      <c r="A73" s="74">
        <v>60</v>
      </c>
      <c r="B73" s="75" t="s">
        <v>162</v>
      </c>
      <c r="C73" s="75" t="s">
        <v>1655</v>
      </c>
      <c r="D73" s="75" t="s">
        <v>896</v>
      </c>
      <c r="E73" s="75" t="s">
        <v>758</v>
      </c>
      <c r="F73" s="75" t="s">
        <v>1597</v>
      </c>
      <c r="G73" s="75" t="str">
        <f>+IF(ISERROR(VLOOKUP(E73,Tareas_Maestro!A:E,5,0)),"",VLOOKUP(E73,Tareas_Maestro!A:E,5,0))</f>
        <v>Revisar y comunicar política de ausencias y vacaciones</v>
      </c>
      <c r="H73" s="77" t="s">
        <v>1270</v>
      </c>
      <c r="I73" s="75" t="s">
        <v>99</v>
      </c>
    </row>
    <row r="74" spans="1:10" ht="86.45">
      <c r="A74" s="74">
        <v>61</v>
      </c>
      <c r="B74" s="75" t="s">
        <v>167</v>
      </c>
      <c r="C74" s="75" t="s">
        <v>1656</v>
      </c>
      <c r="D74" s="75" t="s">
        <v>902</v>
      </c>
      <c r="E74" s="75" t="s">
        <v>772</v>
      </c>
      <c r="F74" s="75" t="s">
        <v>1597</v>
      </c>
      <c r="G74" s="75" t="str">
        <f>+IF(ISERROR(VLOOKUP(E74,Tareas_Maestro!A:E,5,0)),"",VLOOKUP(E74,Tareas_Maestro!A:E,5,0))</f>
        <v>Revisar y actualizar buddy system</v>
      </c>
      <c r="H74" s="77" t="s">
        <v>1270</v>
      </c>
      <c r="I74" s="75" t="s">
        <v>99</v>
      </c>
    </row>
    <row r="75" spans="1:10" ht="86.45">
      <c r="A75" s="74">
        <v>62</v>
      </c>
      <c r="B75" s="75" t="s">
        <v>167</v>
      </c>
      <c r="C75" s="75" t="s">
        <v>1657</v>
      </c>
      <c r="D75" s="75" t="s">
        <v>906</v>
      </c>
      <c r="E75" s="75" t="s">
        <v>772</v>
      </c>
      <c r="F75" s="75" t="s">
        <v>1597</v>
      </c>
      <c r="G75" s="75" t="str">
        <f>+IF(ISERROR(VLOOKUP(E75,Tareas_Maestro!A:E,5,0)),"",VLOOKUP(E75,Tareas_Maestro!A:E,5,0))</f>
        <v>Revisar y actualizar buddy system</v>
      </c>
      <c r="H75" s="77" t="s">
        <v>1270</v>
      </c>
      <c r="I75" s="75" t="s">
        <v>99</v>
      </c>
    </row>
    <row r="76" spans="1:10" ht="86.45">
      <c r="A76" s="1">
        <v>320</v>
      </c>
      <c r="B76" s="75" t="s">
        <v>167</v>
      </c>
      <c r="C76" s="75" t="s">
        <v>1657</v>
      </c>
      <c r="D76" s="75" t="s">
        <v>1658</v>
      </c>
      <c r="E76" s="75" t="s">
        <v>1373</v>
      </c>
      <c r="F76" s="75" t="s">
        <v>1607</v>
      </c>
      <c r="G76" s="75" t="str">
        <f>+IF(ISERROR(VLOOKUP(E76,Tareas_Maestro!A:E,5,0)),"",VLOOKUP(E76,Tareas_Maestro!A:E,5,0))</f>
        <v>Actualizar en Gema Admin/SPARK los buddies de BL/KAD de acuerdo con el plan</v>
      </c>
      <c r="H76" s="77" t="s">
        <v>1270</v>
      </c>
      <c r="I76" s="75" t="s">
        <v>99</v>
      </c>
    </row>
    <row r="77" spans="1:10" ht="43.15">
      <c r="A77" s="74">
        <v>63</v>
      </c>
      <c r="B77" s="75" t="s">
        <v>167</v>
      </c>
      <c r="C77" s="75" t="s">
        <v>1659</v>
      </c>
      <c r="D77" s="75" t="s">
        <v>911</v>
      </c>
      <c r="E77" s="75" t="s">
        <v>776</v>
      </c>
      <c r="F77" s="75" t="s">
        <v>1597</v>
      </c>
      <c r="G77" s="75" t="str">
        <f>+IF(ISERROR(VLOOKUP(E77,Tareas_Maestro!A:E,5,0)),"",VLOOKUP(E77,Tareas_Maestro!A:E,5,0))</f>
        <v>Gestionar trabajo de ausentes. Apoyarse en Plan de Contingencias</v>
      </c>
      <c r="H77" s="77" t="s">
        <v>1270</v>
      </c>
      <c r="I77" s="75" t="s">
        <v>114</v>
      </c>
      <c r="J77" s="75" t="s">
        <v>1606</v>
      </c>
    </row>
    <row r="78" spans="1:10" ht="28.9">
      <c r="A78" s="74">
        <v>64</v>
      </c>
      <c r="B78" s="75" t="s">
        <v>167</v>
      </c>
      <c r="C78" s="75" t="s">
        <v>1660</v>
      </c>
      <c r="D78" s="75" t="s">
        <v>915</v>
      </c>
      <c r="E78" s="75" t="s">
        <v>772</v>
      </c>
      <c r="F78" s="75" t="s">
        <v>1597</v>
      </c>
      <c r="G78" s="75" t="str">
        <f>+IF(ISERROR(VLOOKUP(E78,Tareas_Maestro!A:E,5,0)),"",VLOOKUP(E78,Tareas_Maestro!A:E,5,0))</f>
        <v>Revisar y actualizar buddy system</v>
      </c>
      <c r="H78" s="77" t="s">
        <v>1270</v>
      </c>
      <c r="I78" s="75" t="s">
        <v>99</v>
      </c>
    </row>
    <row r="79" spans="1:10" ht="43.15">
      <c r="A79" s="1">
        <v>321</v>
      </c>
      <c r="B79" s="75" t="s">
        <v>167</v>
      </c>
      <c r="C79" s="75" t="s">
        <v>1660</v>
      </c>
      <c r="D79" s="75" t="s">
        <v>171</v>
      </c>
      <c r="E79" s="75" t="s">
        <v>1375</v>
      </c>
      <c r="F79" s="75" t="s">
        <v>1607</v>
      </c>
      <c r="G79" s="75" t="str">
        <f>+IF(ISERROR(VLOOKUP(E79,Tareas_Maestro!A:E,5,0)),"",VLOOKUP(E79,Tareas_Maestro!A:E,5,0))</f>
        <v>Armar grupo en Teams para comunicar ausencias y cobertura de buddies</v>
      </c>
      <c r="H79" s="77" t="s">
        <v>1270</v>
      </c>
      <c r="I79" s="75" t="s">
        <v>99</v>
      </c>
    </row>
    <row r="80" spans="1:10" ht="72">
      <c r="A80" s="74">
        <v>65</v>
      </c>
      <c r="B80" s="75" t="s">
        <v>172</v>
      </c>
      <c r="C80" s="75" t="s">
        <v>1661</v>
      </c>
      <c r="D80" s="75" t="s">
        <v>920</v>
      </c>
      <c r="E80" s="75" t="s">
        <v>788</v>
      </c>
      <c r="F80" s="75" t="s">
        <v>1597</v>
      </c>
      <c r="G80" s="75" t="str">
        <f>+IF(ISERROR(VLOOKUP(E80,Tareas_Maestro!A:E,5,0)),"",VLOOKUP(E80,Tareas_Maestro!A:E,5,0))</f>
        <v>Verificar accesibilidad del Plan de Contingencia</v>
      </c>
      <c r="H80" s="77" t="s">
        <v>1270</v>
      </c>
      <c r="I80" s="75" t="s">
        <v>99</v>
      </c>
    </row>
    <row r="81" spans="1:9" ht="100.9">
      <c r="A81" s="74">
        <v>66</v>
      </c>
      <c r="B81" s="75" t="s">
        <v>172</v>
      </c>
      <c r="C81" s="75" t="s">
        <v>1662</v>
      </c>
      <c r="D81" s="75" t="s">
        <v>924</v>
      </c>
      <c r="E81" s="75" t="s">
        <v>780</v>
      </c>
      <c r="F81" s="75" t="s">
        <v>1597</v>
      </c>
      <c r="G81" s="75" t="str">
        <f>+IF(ISERROR(VLOOKUP(E81,Tareas_Maestro!A:E,5,0)),"",VLOOKUP(E81,Tareas_Maestro!A:E,5,0))</f>
        <v>Revisar Plan de Contingencia y de Continuidad del Negocio (BCP)</v>
      </c>
      <c r="H81" s="77" t="s">
        <v>1270</v>
      </c>
      <c r="I81" s="75" t="s">
        <v>99</v>
      </c>
    </row>
    <row r="82" spans="1:9" ht="43.15">
      <c r="A82" s="74">
        <v>67</v>
      </c>
      <c r="B82" s="75" t="s">
        <v>172</v>
      </c>
      <c r="C82" s="75" t="s">
        <v>1663</v>
      </c>
      <c r="D82" s="75" t="s">
        <v>927</v>
      </c>
      <c r="E82" s="75" t="s">
        <v>784</v>
      </c>
      <c r="F82" s="75" t="s">
        <v>1597</v>
      </c>
      <c r="G82" s="75" t="str">
        <f>+IF(ISERROR(VLOOKUP(E82,Tareas_Maestro!A:E,5,0)),"",VLOOKUP(E82,Tareas_Maestro!A:E,5,0))</f>
        <v>Realizar simulacro del Plan de Contingencia y revisar que las copias físicas estén en su lugar</v>
      </c>
      <c r="H82" s="77" t="s">
        <v>1270</v>
      </c>
      <c r="I82" s="75" t="s">
        <v>99</v>
      </c>
    </row>
    <row r="83" spans="1:9" ht="57.6">
      <c r="A83" s="74">
        <v>68</v>
      </c>
      <c r="B83" s="75" t="s">
        <v>176</v>
      </c>
      <c r="C83" s="75" t="s">
        <v>1664</v>
      </c>
      <c r="D83" s="75" t="s">
        <v>932</v>
      </c>
      <c r="E83" s="75" t="s">
        <v>793</v>
      </c>
      <c r="F83" s="75" t="s">
        <v>1597</v>
      </c>
      <c r="G83" s="75" t="str">
        <f>+IF(ISERROR(VLOOKUP(E83,Tareas_Maestro!A:E,5,0)),"",VLOOKUP(E83,Tareas_Maestro!A:E,5,0))</f>
        <v>Realizar auto-auditoría del proceso KAD. Se recomienda hacer controles cruzados entre distintos KAD</v>
      </c>
      <c r="H83" s="77" t="s">
        <v>1270</v>
      </c>
      <c r="I83" s="75" t="s">
        <v>99</v>
      </c>
    </row>
    <row r="84" spans="1:9" ht="86.45">
      <c r="A84" s="74">
        <v>69</v>
      </c>
      <c r="B84" s="75" t="s">
        <v>176</v>
      </c>
      <c r="C84" s="75" t="s">
        <v>1665</v>
      </c>
      <c r="D84" s="75" t="s">
        <v>936</v>
      </c>
      <c r="E84" s="75" t="s">
        <v>793</v>
      </c>
      <c r="F84" s="75" t="s">
        <v>1597</v>
      </c>
      <c r="G84" s="75" t="str">
        <f>+IF(ISERROR(VLOOKUP(E84,Tareas_Maestro!A:E,5,0)),"",VLOOKUP(E84,Tareas_Maestro!A:E,5,0))</f>
        <v>Realizar auto-auditoría del proceso KAD. Se recomienda hacer controles cruzados entre distintos KAD</v>
      </c>
      <c r="H84" s="77" t="s">
        <v>1270</v>
      </c>
      <c r="I84" s="75" t="s">
        <v>99</v>
      </c>
    </row>
    <row r="85" spans="1:9" ht="57.6">
      <c r="A85" s="74">
        <v>70</v>
      </c>
      <c r="B85" s="75" t="s">
        <v>179</v>
      </c>
      <c r="C85" s="75" t="s">
        <v>1666</v>
      </c>
      <c r="D85" s="75" t="s">
        <v>940</v>
      </c>
      <c r="E85" s="75" t="s">
        <v>799</v>
      </c>
      <c r="F85" s="75" t="s">
        <v>1597</v>
      </c>
      <c r="G85" s="75" t="str">
        <f>+IF(ISERROR(VLOOKUP(E85,Tareas_Maestro!A:E,5,0)),"",VLOOKUP(E85,Tareas_Maestro!A:E,5,0))</f>
        <v>Revisar y actualizar perfiles de clientes KAD en el Master File. Se recomienda hacer controles cruzados entre distintos KAD</v>
      </c>
      <c r="H85" s="77" t="s">
        <v>1270</v>
      </c>
      <c r="I85" s="75" t="s">
        <v>99</v>
      </c>
    </row>
    <row r="86" spans="1:9" ht="57.6">
      <c r="A86" s="74">
        <v>71</v>
      </c>
      <c r="B86" s="75" t="s">
        <v>179</v>
      </c>
      <c r="C86" s="75" t="s">
        <v>1667</v>
      </c>
      <c r="D86" s="75" t="s">
        <v>944</v>
      </c>
      <c r="E86" s="75" t="s">
        <v>799</v>
      </c>
      <c r="F86" s="75" t="s">
        <v>1597</v>
      </c>
      <c r="G86" s="75" t="str">
        <f>+IF(ISERROR(VLOOKUP(E86,Tareas_Maestro!A:E,5,0)),"",VLOOKUP(E86,Tareas_Maestro!A:E,5,0))</f>
        <v>Revisar y actualizar perfiles de clientes KAD en el Master File. Se recomienda hacer controles cruzados entre distintos KAD</v>
      </c>
      <c r="H86" s="77" t="s">
        <v>1270</v>
      </c>
      <c r="I86" s="75" t="s">
        <v>99</v>
      </c>
    </row>
    <row r="87" spans="1:9" ht="57.6">
      <c r="A87" s="74">
        <v>72</v>
      </c>
      <c r="B87" s="75" t="s">
        <v>179</v>
      </c>
      <c r="C87" s="75" t="s">
        <v>1668</v>
      </c>
      <c r="D87" s="75" t="s">
        <v>946</v>
      </c>
      <c r="E87" s="75" t="s">
        <v>799</v>
      </c>
      <c r="F87" s="75" t="s">
        <v>1597</v>
      </c>
      <c r="G87" s="75" t="str">
        <f>+IF(ISERROR(VLOOKUP(E87,Tareas_Maestro!A:E,5,0)),"",VLOOKUP(E87,Tareas_Maestro!A:E,5,0))</f>
        <v>Revisar y actualizar perfiles de clientes KAD en el Master File. Se recomienda hacer controles cruzados entre distintos KAD</v>
      </c>
      <c r="H87" s="77" t="s">
        <v>1270</v>
      </c>
      <c r="I87" s="75" t="s">
        <v>99</v>
      </c>
    </row>
    <row r="88" spans="1:9" ht="43.15">
      <c r="A88" s="74">
        <v>73</v>
      </c>
      <c r="B88" s="75" t="s">
        <v>183</v>
      </c>
      <c r="C88" s="75" t="s">
        <v>1669</v>
      </c>
      <c r="D88" s="75" t="s">
        <v>950</v>
      </c>
      <c r="E88" s="75" t="s">
        <v>804</v>
      </c>
      <c r="F88" s="75" t="s">
        <v>1597</v>
      </c>
      <c r="G88" s="75" t="str">
        <f>+IF(ISERROR(VLOOKUP(E88,Tareas_Maestro!A:E,5,0)),"",VLOOKUP(E88,Tareas_Maestro!A:E,5,0))</f>
        <v>Realizar revisión semestral de eficiencia con actualizaciones mensuales</v>
      </c>
      <c r="H88" s="77" t="s">
        <v>1270</v>
      </c>
      <c r="I88" s="75" t="s">
        <v>99</v>
      </c>
    </row>
    <row r="89" spans="1:9" ht="72">
      <c r="A89" s="74">
        <v>74</v>
      </c>
      <c r="B89" s="75" t="s">
        <v>183</v>
      </c>
      <c r="C89" s="75" t="s">
        <v>1670</v>
      </c>
      <c r="D89" s="75" t="s">
        <v>954</v>
      </c>
      <c r="E89" s="75" t="s">
        <v>804</v>
      </c>
      <c r="F89" s="75" t="s">
        <v>1597</v>
      </c>
      <c r="G89" s="75" t="str">
        <f>+IF(ISERROR(VLOOKUP(E89,Tareas_Maestro!A:E,5,0)),"",VLOOKUP(E89,Tareas_Maestro!A:E,5,0))</f>
        <v>Realizar revisión semestral de eficiencia con actualizaciones mensuales</v>
      </c>
      <c r="H89" s="77" t="s">
        <v>1270</v>
      </c>
      <c r="I89" s="75" t="s">
        <v>99</v>
      </c>
    </row>
    <row r="90" spans="1:9" ht="43.15">
      <c r="A90" s="74">
        <v>75</v>
      </c>
      <c r="B90" s="75" t="s">
        <v>183</v>
      </c>
      <c r="C90" s="75" t="s">
        <v>1671</v>
      </c>
      <c r="D90" s="75" t="s">
        <v>957</v>
      </c>
      <c r="E90" s="75" t="s">
        <v>804</v>
      </c>
      <c r="F90" s="75" t="s">
        <v>1597</v>
      </c>
      <c r="G90" s="75" t="str">
        <f>+IF(ISERROR(VLOOKUP(E90,Tareas_Maestro!A:E,5,0)),"",VLOOKUP(E90,Tareas_Maestro!A:E,5,0))</f>
        <v>Realizar revisión semestral de eficiencia con actualizaciones mensuales</v>
      </c>
      <c r="H90" s="77" t="s">
        <v>1270</v>
      </c>
      <c r="I90" s="75" t="s">
        <v>99</v>
      </c>
    </row>
    <row r="91" spans="1:9" ht="43.15">
      <c r="A91" s="1">
        <v>322</v>
      </c>
      <c r="B91" s="75" t="s">
        <v>183</v>
      </c>
      <c r="C91" s="75" t="s">
        <v>1671</v>
      </c>
      <c r="D91" s="75" t="s">
        <v>186</v>
      </c>
      <c r="E91" s="75" t="s">
        <v>1396</v>
      </c>
      <c r="F91" s="75" t="s">
        <v>1607</v>
      </c>
      <c r="G91" s="75" t="str">
        <f>+IF(ISERROR(VLOOKUP(E91,Tareas_Maestro!A:E,5,0)),"",VLOOKUP(E91,Tareas_Maestro!A:E,5,0))</f>
        <v>Revisar CR, Eficiencia operativa, Costos de manera mensual</v>
      </c>
      <c r="H91" s="77" t="s">
        <v>1270</v>
      </c>
      <c r="I91" s="75" t="s">
        <v>99</v>
      </c>
    </row>
    <row r="92" spans="1:9" ht="28.9">
      <c r="A92" s="74">
        <v>76</v>
      </c>
      <c r="B92" s="75" t="s">
        <v>187</v>
      </c>
      <c r="C92" s="75" t="s">
        <v>1672</v>
      </c>
      <c r="D92" s="75" t="s">
        <v>962</v>
      </c>
      <c r="E92" s="75" t="s">
        <v>809</v>
      </c>
      <c r="F92" s="75" t="s">
        <v>1597</v>
      </c>
      <c r="G92" s="75" t="str">
        <f>+IF(ISERROR(VLOOKUP(E92,Tareas_Maestro!A:E,5,0)),"",VLOOKUP(E92,Tareas_Maestro!A:E,5,0))</f>
        <v>Realizar conciliación mensual de headcount</v>
      </c>
      <c r="H92" s="77" t="s">
        <v>1270</v>
      </c>
      <c r="I92" s="75" t="s">
        <v>99</v>
      </c>
    </row>
    <row r="93" spans="1:9" ht="43.15">
      <c r="A93" s="74">
        <v>77</v>
      </c>
      <c r="B93" s="75" t="s">
        <v>187</v>
      </c>
      <c r="C93" s="75" t="s">
        <v>1673</v>
      </c>
      <c r="D93" s="75" t="s">
        <v>965</v>
      </c>
      <c r="E93" s="75" t="s">
        <v>809</v>
      </c>
      <c r="F93" s="75" t="s">
        <v>1597</v>
      </c>
      <c r="G93" s="75" t="str">
        <f>+IF(ISERROR(VLOOKUP(E93,Tareas_Maestro!A:E,5,0)),"",VLOOKUP(E93,Tareas_Maestro!A:E,5,0))</f>
        <v>Realizar conciliación mensual de headcount</v>
      </c>
      <c r="H93" s="77" t="s">
        <v>1270</v>
      </c>
      <c r="I93" s="75" t="s">
        <v>99</v>
      </c>
    </row>
    <row r="94" spans="1:9" ht="28.9">
      <c r="A94" s="74">
        <v>78</v>
      </c>
      <c r="B94" s="75" t="s">
        <v>187</v>
      </c>
      <c r="C94" s="75" t="s">
        <v>1674</v>
      </c>
      <c r="D94" s="75" t="s">
        <v>968</v>
      </c>
      <c r="E94" s="75" t="s">
        <v>809</v>
      </c>
      <c r="F94" s="75" t="s">
        <v>1597</v>
      </c>
      <c r="G94" s="75" t="str">
        <f>+IF(ISERROR(VLOOKUP(E94,Tareas_Maestro!A:E,5,0)),"",VLOOKUP(E94,Tareas_Maestro!A:E,5,0))</f>
        <v>Realizar conciliación mensual de headcount</v>
      </c>
      <c r="H94" s="77" t="s">
        <v>1270</v>
      </c>
      <c r="I94" s="75" t="s">
        <v>99</v>
      </c>
    </row>
    <row r="95" spans="1:9" ht="43.15">
      <c r="A95" s="74">
        <v>79</v>
      </c>
      <c r="B95" s="75" t="s">
        <v>191</v>
      </c>
      <c r="C95" s="75" t="s">
        <v>1675</v>
      </c>
      <c r="D95" s="75" t="s">
        <v>973</v>
      </c>
      <c r="E95" s="75" t="s">
        <v>814</v>
      </c>
      <c r="F95" s="75" t="s">
        <v>1597</v>
      </c>
      <c r="G95" s="75" t="str">
        <f>+IF(ISERROR(VLOOKUP(E95,Tareas_Maestro!A:E,5,0)),"",VLOOKUP(E95,Tareas_Maestro!A:E,5,0))</f>
        <v>Revisar y comunicar objetivos de generación de ingresos</v>
      </c>
      <c r="H95" s="77" t="s">
        <v>1270</v>
      </c>
      <c r="I95" s="75" t="s">
        <v>99</v>
      </c>
    </row>
    <row r="96" spans="1:9" ht="57.6">
      <c r="A96" s="74">
        <v>80</v>
      </c>
      <c r="B96" s="75" t="s">
        <v>191</v>
      </c>
      <c r="C96" s="75" t="s">
        <v>1676</v>
      </c>
      <c r="D96" s="75" t="s">
        <v>977</v>
      </c>
      <c r="E96" s="75" t="s">
        <v>819</v>
      </c>
      <c r="F96" s="75" t="s">
        <v>1597</v>
      </c>
      <c r="G96" s="75" t="str">
        <f>+IF(ISERROR(VLOOKUP(E96,Tareas_Maestro!A:E,5,0)),"",VLOOKUP(E96,Tareas_Maestro!A:E,5,0))</f>
        <v>Capacitar al equipo de FL para que sepa leer los notice boards y sus KPIs de Upselling y leads y productos que ofrecen</v>
      </c>
      <c r="H96" s="77" t="s">
        <v>1270</v>
      </c>
      <c r="I96" s="75" t="s">
        <v>99</v>
      </c>
    </row>
    <row r="97" spans="1:9" ht="72">
      <c r="A97" s="74">
        <v>81</v>
      </c>
      <c r="B97" s="75" t="s">
        <v>191</v>
      </c>
      <c r="C97" s="75" t="s">
        <v>1677</v>
      </c>
      <c r="D97" s="75" t="s">
        <v>981</v>
      </c>
      <c r="E97" s="75" t="s">
        <v>814</v>
      </c>
      <c r="F97" s="75" t="s">
        <v>1597</v>
      </c>
      <c r="G97" s="75" t="str">
        <f>+IF(ISERROR(VLOOKUP(E97,Tareas_Maestro!A:E,5,0)),"",VLOOKUP(E97,Tareas_Maestro!A:E,5,0))</f>
        <v>Revisar y comunicar objetivos de generación de ingresos</v>
      </c>
      <c r="H97" s="77" t="s">
        <v>1270</v>
      </c>
      <c r="I97" s="75" t="s">
        <v>99</v>
      </c>
    </row>
    <row r="98" spans="1:9" ht="72">
      <c r="A98" s="74">
        <v>82</v>
      </c>
      <c r="B98" s="75" t="s">
        <v>195</v>
      </c>
      <c r="C98" s="75" t="s">
        <v>1678</v>
      </c>
      <c r="D98" s="75" t="s">
        <v>986</v>
      </c>
      <c r="E98" s="75" t="s">
        <v>824</v>
      </c>
      <c r="F98" s="75" t="s">
        <v>1597</v>
      </c>
      <c r="G98" s="75" t="str">
        <f>+IF(ISERROR(VLOOKUP(E98,Tareas_Maestro!A:E,5,0)),"",VLOOKUP(E98,Tareas_Maestro!A:E,5,0))</f>
        <v>Monitorear y reportar sobre campañas de venta activas</v>
      </c>
      <c r="H98" s="77" t="s">
        <v>1270</v>
      </c>
      <c r="I98" s="75" t="s">
        <v>99</v>
      </c>
    </row>
    <row r="99" spans="1:9" ht="28.9">
      <c r="A99" s="74">
        <v>83</v>
      </c>
      <c r="B99" s="75" t="s">
        <v>195</v>
      </c>
      <c r="C99" s="75" t="s">
        <v>1679</v>
      </c>
      <c r="D99" s="75" t="s">
        <v>989</v>
      </c>
      <c r="E99" s="75" t="s">
        <v>824</v>
      </c>
      <c r="F99" s="75" t="s">
        <v>1597</v>
      </c>
      <c r="G99" s="75" t="str">
        <f>+IF(ISERROR(VLOOKUP(E99,Tareas_Maestro!A:E,5,0)),"",VLOOKUP(E99,Tareas_Maestro!A:E,5,0))</f>
        <v>Monitorear y reportar sobre campañas de venta activas</v>
      </c>
      <c r="H99" s="77" t="s">
        <v>1270</v>
      </c>
      <c r="I99" s="75" t="s">
        <v>99</v>
      </c>
    </row>
    <row r="100" spans="1:9" ht="28.9">
      <c r="A100" s="74">
        <v>84</v>
      </c>
      <c r="B100" s="75" t="s">
        <v>195</v>
      </c>
      <c r="C100" s="75" t="s">
        <v>1680</v>
      </c>
      <c r="D100" s="75" t="s">
        <v>993</v>
      </c>
      <c r="E100" s="75" t="s">
        <v>824</v>
      </c>
      <c r="F100" s="75" t="s">
        <v>1597</v>
      </c>
      <c r="G100" s="75" t="str">
        <f>+IF(ISERROR(VLOOKUP(E100,Tareas_Maestro!A:E,5,0)),"",VLOOKUP(E100,Tareas_Maestro!A:E,5,0))</f>
        <v>Monitorear y reportar sobre campañas de venta activas</v>
      </c>
      <c r="H100" s="77" t="s">
        <v>1270</v>
      </c>
      <c r="I100" s="75" t="s">
        <v>99</v>
      </c>
    </row>
    <row r="101" spans="1:9" ht="43.15">
      <c r="A101" s="74">
        <v>85</v>
      </c>
      <c r="B101" s="75" t="s">
        <v>199</v>
      </c>
      <c r="C101" s="75" t="s">
        <v>1681</v>
      </c>
      <c r="D101" s="75" t="s">
        <v>998</v>
      </c>
      <c r="E101" s="75" t="s">
        <v>829</v>
      </c>
      <c r="F101" s="75" t="s">
        <v>1597</v>
      </c>
      <c r="G101" s="75" t="str">
        <f>+IF(ISERROR(VLOOKUP(E101,Tareas_Maestro!A:E,5,0)),"",VLOOKUP(E101,Tareas_Maestro!A:E,5,0))</f>
        <v>Realizar seguimiento de plan para transformar las cotizaciones en Bookings efectivos</v>
      </c>
      <c r="H101" s="77" t="s">
        <v>1270</v>
      </c>
      <c r="I101" s="75" t="s">
        <v>99</v>
      </c>
    </row>
    <row r="102" spans="1:9" ht="43.15">
      <c r="A102" s="74">
        <v>86</v>
      </c>
      <c r="B102" s="75" t="s">
        <v>199</v>
      </c>
      <c r="C102" s="75" t="s">
        <v>1682</v>
      </c>
      <c r="D102" s="75" t="s">
        <v>1002</v>
      </c>
      <c r="E102" s="75" t="s">
        <v>829</v>
      </c>
      <c r="F102" s="75" t="s">
        <v>1597</v>
      </c>
      <c r="G102" s="75" t="str">
        <f>+IF(ISERROR(VLOOKUP(E102,Tareas_Maestro!A:E,5,0)),"",VLOOKUP(E102,Tareas_Maestro!A:E,5,0))</f>
        <v>Realizar seguimiento de plan para transformar las cotizaciones en Bookings efectivos</v>
      </c>
      <c r="H102" s="77" t="s">
        <v>1270</v>
      </c>
      <c r="I102" s="75" t="s">
        <v>99</v>
      </c>
    </row>
    <row r="103" spans="1:9" ht="43.15">
      <c r="A103" s="74">
        <v>87</v>
      </c>
      <c r="B103" s="75" t="s">
        <v>199</v>
      </c>
      <c r="C103" s="75" t="s">
        <v>1683</v>
      </c>
      <c r="D103" s="75" t="s">
        <v>1003</v>
      </c>
      <c r="E103" s="75" t="s">
        <v>829</v>
      </c>
      <c r="F103" s="75" t="s">
        <v>1597</v>
      </c>
      <c r="G103" s="75" t="str">
        <f>+IF(ISERROR(VLOOKUP(E103,Tareas_Maestro!A:E,5,0)),"",VLOOKUP(E103,Tareas_Maestro!A:E,5,0))</f>
        <v>Realizar seguimiento de plan para transformar las cotizaciones en Bookings efectivos</v>
      </c>
      <c r="H103" s="77" t="s">
        <v>1270</v>
      </c>
      <c r="I103" s="75" t="s">
        <v>99</v>
      </c>
    </row>
    <row r="104" spans="1:9" ht="43.15">
      <c r="A104" s="74">
        <v>88</v>
      </c>
      <c r="B104" s="75" t="s">
        <v>199</v>
      </c>
      <c r="C104" s="75" t="s">
        <v>1684</v>
      </c>
      <c r="D104" s="75" t="s">
        <v>1004</v>
      </c>
      <c r="E104" s="75" t="s">
        <v>829</v>
      </c>
      <c r="F104" s="75" t="s">
        <v>1597</v>
      </c>
      <c r="G104" s="75" t="str">
        <f>+IF(ISERROR(VLOOKUP(E104,Tareas_Maestro!A:E,5,0)),"",VLOOKUP(E104,Tareas_Maestro!A:E,5,0))</f>
        <v>Realizar seguimiento de plan para transformar las cotizaciones en Bookings efectivos</v>
      </c>
      <c r="H104" s="77" t="s">
        <v>1270</v>
      </c>
      <c r="I104" s="75" t="s">
        <v>99</v>
      </c>
    </row>
    <row r="105" spans="1:9" ht="43.15">
      <c r="A105" s="74">
        <v>89</v>
      </c>
      <c r="B105" s="75" t="s">
        <v>199</v>
      </c>
      <c r="C105" s="75" t="s">
        <v>1685</v>
      </c>
      <c r="D105" s="75" t="s">
        <v>1005</v>
      </c>
      <c r="E105" s="75" t="s">
        <v>829</v>
      </c>
      <c r="F105" s="75" t="s">
        <v>1597</v>
      </c>
      <c r="G105" s="75" t="str">
        <f>+IF(ISERROR(VLOOKUP(E105,Tareas_Maestro!A:E,5,0)),"",VLOOKUP(E105,Tareas_Maestro!A:E,5,0))</f>
        <v>Realizar seguimiento de plan para transformar las cotizaciones en Bookings efectivos</v>
      </c>
      <c r="H105" s="77" t="s">
        <v>1270</v>
      </c>
      <c r="I105" s="75" t="s">
        <v>99</v>
      </c>
    </row>
    <row r="106" spans="1:9" ht="43.15">
      <c r="A106" s="74">
        <v>90</v>
      </c>
      <c r="B106" s="75" t="s">
        <v>205</v>
      </c>
      <c r="C106" s="75" t="s">
        <v>1686</v>
      </c>
      <c r="D106" s="75" t="s">
        <v>1007</v>
      </c>
      <c r="E106" s="75" t="s">
        <v>834</v>
      </c>
      <c r="F106" s="75" t="s">
        <v>1597</v>
      </c>
      <c r="G106" s="75" t="str">
        <f>+IF(ISERROR(VLOOKUP(E106,Tareas_Maestro!A:E,5,0)),"",VLOOKUP(E106,Tareas_Maestro!A:E,5,0))</f>
        <v>Monitorear y coachear sobre oferta de Servicios Opcionales</v>
      </c>
      <c r="H106" s="77" t="s">
        <v>1270</v>
      </c>
      <c r="I106" s="75" t="s">
        <v>99</v>
      </c>
    </row>
    <row r="107" spans="1:9" ht="43.15">
      <c r="A107" s="74">
        <v>91</v>
      </c>
      <c r="B107" s="75" t="s">
        <v>205</v>
      </c>
      <c r="C107" s="75" t="s">
        <v>1687</v>
      </c>
      <c r="D107" s="75" t="s">
        <v>1008</v>
      </c>
      <c r="E107" s="75" t="s">
        <v>834</v>
      </c>
      <c r="F107" s="75" t="s">
        <v>1597</v>
      </c>
      <c r="G107" s="75" t="str">
        <f>+IF(ISERROR(VLOOKUP(E107,Tareas_Maestro!A:E,5,0)),"",VLOOKUP(E107,Tareas_Maestro!A:E,5,0))</f>
        <v>Monitorear y coachear sobre oferta de Servicios Opcionales</v>
      </c>
      <c r="H107" s="77" t="s">
        <v>1270</v>
      </c>
      <c r="I107" s="75" t="s">
        <v>99</v>
      </c>
    </row>
    <row r="108" spans="1:9" ht="43.15">
      <c r="A108" s="74">
        <v>92</v>
      </c>
      <c r="B108" s="75" t="s">
        <v>205</v>
      </c>
      <c r="C108" s="75" t="s">
        <v>1688</v>
      </c>
      <c r="D108" s="75" t="s">
        <v>1009</v>
      </c>
      <c r="E108" s="75" t="s">
        <v>834</v>
      </c>
      <c r="F108" s="75" t="s">
        <v>1597</v>
      </c>
      <c r="G108" s="75" t="str">
        <f>+IF(ISERROR(VLOOKUP(E108,Tareas_Maestro!A:E,5,0)),"",VLOOKUP(E108,Tareas_Maestro!A:E,5,0))</f>
        <v>Monitorear y coachear sobre oferta de Servicios Opcionales</v>
      </c>
      <c r="H108" s="77" t="s">
        <v>1270</v>
      </c>
      <c r="I108" s="75" t="s">
        <v>99</v>
      </c>
    </row>
    <row r="109" spans="1:9" ht="72">
      <c r="A109" s="74">
        <v>93</v>
      </c>
      <c r="B109" s="75" t="s">
        <v>209</v>
      </c>
      <c r="C109" s="75" t="s">
        <v>1689</v>
      </c>
      <c r="D109" s="75" t="s">
        <v>1011</v>
      </c>
      <c r="E109" s="75" t="s">
        <v>838</v>
      </c>
      <c r="F109" s="75" t="s">
        <v>1597</v>
      </c>
      <c r="G109" s="75" t="str">
        <f>+IF(ISERROR(VLOOKUP(E109,Tareas_Maestro!A:E,5,0)),"",VLOOKUP(E109,Tareas_Maestro!A:E,5,0))</f>
        <v>Realizar revisión trimestral del SLA CS-Comercial (plan de Leads/otros)</v>
      </c>
      <c r="H109" s="77" t="s">
        <v>1270</v>
      </c>
      <c r="I109" s="75" t="s">
        <v>99</v>
      </c>
    </row>
    <row r="110" spans="1:9" ht="43.15">
      <c r="A110" s="74">
        <v>94</v>
      </c>
      <c r="B110" s="75" t="s">
        <v>209</v>
      </c>
      <c r="C110" s="75" t="s">
        <v>1690</v>
      </c>
      <c r="D110" s="75" t="s">
        <v>1012</v>
      </c>
      <c r="E110" s="75" t="s">
        <v>838</v>
      </c>
      <c r="F110" s="75" t="s">
        <v>1597</v>
      </c>
      <c r="G110" s="75" t="str">
        <f>+IF(ISERROR(VLOOKUP(E110,Tareas_Maestro!A:E,5,0)),"",VLOOKUP(E110,Tareas_Maestro!A:E,5,0))</f>
        <v>Realizar revisión trimestral del SLA CS-Comercial (plan de Leads/otros)</v>
      </c>
      <c r="H110" s="77" t="s">
        <v>1270</v>
      </c>
      <c r="I110" s="75" t="s">
        <v>99</v>
      </c>
    </row>
    <row r="111" spans="1:9" ht="43.15">
      <c r="A111" s="1">
        <v>323</v>
      </c>
      <c r="B111" s="75" t="s">
        <v>209</v>
      </c>
      <c r="C111" s="75" t="s">
        <v>1690</v>
      </c>
      <c r="D111" s="75" t="s">
        <v>211</v>
      </c>
      <c r="E111" s="75" t="s">
        <v>1419</v>
      </c>
      <c r="F111" s="75" t="s">
        <v>1607</v>
      </c>
      <c r="G111" s="75" t="str">
        <f>+IF(ISERROR(VLOOKUP(E111,Tareas_Maestro!A:E,5,0)),"",VLOOKUP(E111,Tareas_Maestro!A:E,5,0))</f>
        <v>Hacer seguimiento mensual del plan de generación de revenue</v>
      </c>
      <c r="H111" s="77" t="s">
        <v>1270</v>
      </c>
      <c r="I111" s="75" t="s">
        <v>99</v>
      </c>
    </row>
    <row r="112" spans="1:9" ht="43.15">
      <c r="A112" s="74">
        <v>95</v>
      </c>
      <c r="B112" s="75" t="s">
        <v>209</v>
      </c>
      <c r="C112" s="75" t="s">
        <v>1691</v>
      </c>
      <c r="D112" s="75" t="s">
        <v>1013</v>
      </c>
      <c r="E112" s="75" t="s">
        <v>1419</v>
      </c>
      <c r="F112" s="75" t="s">
        <v>1597</v>
      </c>
      <c r="G112" s="75" t="str">
        <f>+IF(ISERROR(VLOOKUP(E112,Tareas_Maestro!A:E,5,0)),"",VLOOKUP(E112,Tareas_Maestro!A:E,5,0))</f>
        <v>Hacer seguimiento mensual del plan de generación de revenue</v>
      </c>
      <c r="H112" s="77" t="s">
        <v>1270</v>
      </c>
      <c r="I112" s="75" t="s">
        <v>99</v>
      </c>
    </row>
    <row r="113" spans="1:9" ht="43.15">
      <c r="A113" s="74">
        <v>96</v>
      </c>
      <c r="B113" s="75" t="s">
        <v>209</v>
      </c>
      <c r="C113" s="75" t="s">
        <v>1692</v>
      </c>
      <c r="D113" s="75" t="s">
        <v>1014</v>
      </c>
      <c r="E113" s="75" t="s">
        <v>1419</v>
      </c>
      <c r="F113" s="75" t="s">
        <v>1597</v>
      </c>
      <c r="G113" s="75" t="str">
        <f>+IF(ISERROR(VLOOKUP(E113,Tareas_Maestro!A:E,5,0)),"",VLOOKUP(E113,Tareas_Maestro!A:E,5,0))</f>
        <v>Hacer seguimiento mensual del plan de generación de revenue</v>
      </c>
      <c r="H113" s="77" t="s">
        <v>1270</v>
      </c>
      <c r="I113" s="75" t="s">
        <v>99</v>
      </c>
    </row>
    <row r="114" spans="1:9" ht="57.6">
      <c r="A114" s="74">
        <v>97</v>
      </c>
      <c r="B114" s="75" t="s">
        <v>214</v>
      </c>
      <c r="C114" s="75" t="s">
        <v>1693</v>
      </c>
      <c r="D114" s="75" t="s">
        <v>1016</v>
      </c>
      <c r="E114" s="75" t="s">
        <v>887</v>
      </c>
      <c r="F114" s="75" t="s">
        <v>1597</v>
      </c>
      <c r="G114" s="75" t="str">
        <f>+IF(ISERROR(VLOOKUP(E114,Tareas_Maestro!A:E,5,0)),"",VLOOKUP(E114,Tareas_Maestro!A:E,5,0))</f>
        <v>Documentar y comunicar programa SMART de incentivos y reconocimiento</v>
      </c>
      <c r="H114" s="77" t="s">
        <v>1270</v>
      </c>
      <c r="I114" s="75" t="s">
        <v>99</v>
      </c>
    </row>
    <row r="115" spans="1:9" ht="43.15">
      <c r="A115" s="74">
        <v>98</v>
      </c>
      <c r="B115" s="75" t="s">
        <v>214</v>
      </c>
      <c r="C115" s="75" t="s">
        <v>1694</v>
      </c>
      <c r="D115" s="75" t="s">
        <v>1017</v>
      </c>
      <c r="E115" s="75" t="s">
        <v>887</v>
      </c>
      <c r="F115" s="75" t="s">
        <v>1597</v>
      </c>
      <c r="G115" s="75" t="str">
        <f>+IF(ISERROR(VLOOKUP(E115,Tareas_Maestro!A:E,5,0)),"",VLOOKUP(E115,Tareas_Maestro!A:E,5,0))</f>
        <v>Documentar y comunicar programa SMART de incentivos y reconocimiento</v>
      </c>
      <c r="H115" s="77" t="s">
        <v>1270</v>
      </c>
      <c r="I115" s="75" t="s">
        <v>99</v>
      </c>
    </row>
    <row r="116" spans="1:9" ht="43.15">
      <c r="A116" s="74">
        <v>99</v>
      </c>
      <c r="B116" s="75" t="s">
        <v>214</v>
      </c>
      <c r="C116" s="75" t="s">
        <v>1695</v>
      </c>
      <c r="D116" s="75" t="s">
        <v>1018</v>
      </c>
      <c r="E116" s="75" t="s">
        <v>887</v>
      </c>
      <c r="F116" s="75" t="s">
        <v>1597</v>
      </c>
      <c r="G116" s="75" t="str">
        <f>+IF(ISERROR(VLOOKUP(E116,Tareas_Maestro!A:E,5,0)),"",VLOOKUP(E116,Tareas_Maestro!A:E,5,0))</f>
        <v>Documentar y comunicar programa SMART de incentivos y reconocimiento</v>
      </c>
      <c r="H116" s="77" t="s">
        <v>1270</v>
      </c>
      <c r="I116" s="75" t="s">
        <v>99</v>
      </c>
    </row>
    <row r="117" spans="1:9" ht="43.15">
      <c r="A117" s="1">
        <v>299</v>
      </c>
      <c r="B117" s="75" t="s">
        <v>214</v>
      </c>
      <c r="C117" s="75" t="s">
        <v>1695</v>
      </c>
      <c r="D117" s="75" t="s">
        <v>217</v>
      </c>
      <c r="E117" s="75" t="s">
        <v>1482</v>
      </c>
      <c r="F117" s="75" t="s">
        <v>1607</v>
      </c>
      <c r="G117" s="75" t="str">
        <f>+IF(ISERROR(VLOOKUP(E117,Tareas_Maestro!A:E,5,0)),"",VLOOKUP(E117,Tareas_Maestro!A:E,5,0))</f>
        <v>Generar y actualizar calculadora para facilitar comprensión del scorecard para los agentes</v>
      </c>
      <c r="H117" s="77" t="s">
        <v>1270</v>
      </c>
      <c r="I117" s="75" t="s">
        <v>99</v>
      </c>
    </row>
    <row r="118" spans="1:9" ht="43.15">
      <c r="A118" s="74">
        <v>100</v>
      </c>
      <c r="B118" s="75" t="s">
        <v>214</v>
      </c>
      <c r="C118" s="75" t="s">
        <v>1696</v>
      </c>
      <c r="D118" s="75" t="s">
        <v>1019</v>
      </c>
      <c r="E118" s="75" t="s">
        <v>887</v>
      </c>
      <c r="F118" s="75" t="s">
        <v>1597</v>
      </c>
      <c r="G118" s="75" t="str">
        <f>+IF(ISERROR(VLOOKUP(E118,Tareas_Maestro!A:E,5,0)),"",VLOOKUP(E118,Tareas_Maestro!A:E,5,0))</f>
        <v>Documentar y comunicar programa SMART de incentivos y reconocimiento</v>
      </c>
      <c r="H118" s="77" t="s">
        <v>1270</v>
      </c>
      <c r="I118" s="75" t="s">
        <v>99</v>
      </c>
    </row>
    <row r="119" spans="1:9" ht="43.15">
      <c r="A119" s="74">
        <v>101</v>
      </c>
      <c r="B119" s="75" t="s">
        <v>214</v>
      </c>
      <c r="C119" s="75" t="s">
        <v>1697</v>
      </c>
      <c r="D119" s="75" t="s">
        <v>1020</v>
      </c>
      <c r="E119" s="75" t="s">
        <v>887</v>
      </c>
      <c r="F119" s="75" t="s">
        <v>1597</v>
      </c>
      <c r="G119" s="75" t="str">
        <f>+IF(ISERROR(VLOOKUP(E119,Tareas_Maestro!A:E,5,0)),"",VLOOKUP(E119,Tareas_Maestro!A:E,5,0))</f>
        <v>Documentar y comunicar programa SMART de incentivos y reconocimiento</v>
      </c>
      <c r="H119" s="77" t="s">
        <v>1270</v>
      </c>
      <c r="I119" s="75" t="s">
        <v>99</v>
      </c>
    </row>
    <row r="120" spans="1:9" ht="43.15">
      <c r="A120" s="1">
        <v>300</v>
      </c>
      <c r="B120" s="75" t="s">
        <v>214</v>
      </c>
      <c r="C120" s="75" t="s">
        <v>1697</v>
      </c>
      <c r="D120" s="75" t="s">
        <v>219</v>
      </c>
      <c r="E120" s="75" t="s">
        <v>1483</v>
      </c>
      <c r="F120" s="75" t="s">
        <v>1607</v>
      </c>
      <c r="G120" s="75" t="str">
        <f>+IF(ISERROR(VLOOKUP(E120,Tareas_Maestro!A:E,5,0)),"",VLOOKUP(E120,Tareas_Maestro!A:E,5,0))</f>
        <v>Hacer cálculos de incentivos mensuales y comunicarlos a los agentes</v>
      </c>
      <c r="H120" s="77" t="s">
        <v>1270</v>
      </c>
      <c r="I120" s="75" t="s">
        <v>99</v>
      </c>
    </row>
    <row r="121" spans="1:9" ht="57.6">
      <c r="A121" s="74">
        <v>102</v>
      </c>
      <c r="B121" s="75" t="s">
        <v>220</v>
      </c>
      <c r="C121" s="75" t="s">
        <v>1698</v>
      </c>
      <c r="D121" s="75" t="s">
        <v>1022</v>
      </c>
      <c r="E121" s="75" t="s">
        <v>892</v>
      </c>
      <c r="F121" s="75" t="s">
        <v>1597</v>
      </c>
      <c r="G121" s="75" t="str">
        <f>+IF(ISERROR(VLOOKUP(E121,Tareas_Maestro!A:E,5,0)),"",VLOOKUP(E121,Tareas_Maestro!A:E,5,0))</f>
        <v>Implementar sistema de reconocimiento para top performers</v>
      </c>
      <c r="H121" s="77" t="s">
        <v>1270</v>
      </c>
      <c r="I121" s="75" t="s">
        <v>99</v>
      </c>
    </row>
    <row r="122" spans="1:9" ht="43.15">
      <c r="A122" s="74">
        <v>103</v>
      </c>
      <c r="B122" s="75" t="s">
        <v>220</v>
      </c>
      <c r="C122" s="75" t="s">
        <v>1699</v>
      </c>
      <c r="D122" s="75" t="s">
        <v>1023</v>
      </c>
      <c r="E122" s="75" t="s">
        <v>892</v>
      </c>
      <c r="F122" s="75" t="s">
        <v>1597</v>
      </c>
      <c r="G122" s="75" t="str">
        <f>+IF(ISERROR(VLOOKUP(E122,Tareas_Maestro!A:E,5,0)),"",VLOOKUP(E122,Tareas_Maestro!A:E,5,0))</f>
        <v>Implementar sistema de reconocimiento para top performers</v>
      </c>
      <c r="H122" s="77" t="s">
        <v>1270</v>
      </c>
      <c r="I122" s="75" t="s">
        <v>99</v>
      </c>
    </row>
    <row r="123" spans="1:9" ht="115.15">
      <c r="A123" s="74">
        <v>104</v>
      </c>
      <c r="B123" s="75" t="s">
        <v>220</v>
      </c>
      <c r="C123" s="75" t="s">
        <v>1700</v>
      </c>
      <c r="D123" s="75" t="s">
        <v>1024</v>
      </c>
      <c r="E123" s="75" t="s">
        <v>892</v>
      </c>
      <c r="F123" s="75" t="s">
        <v>1597</v>
      </c>
      <c r="G123" s="75" t="str">
        <f>+IF(ISERROR(VLOOKUP(E123,Tareas_Maestro!A:E,5,0)),"",VLOOKUP(E123,Tareas_Maestro!A:E,5,0))</f>
        <v>Implementar sistema de reconocimiento para top performers</v>
      </c>
      <c r="H123" s="77" t="s">
        <v>1270</v>
      </c>
      <c r="I123" s="75" t="s">
        <v>99</v>
      </c>
    </row>
    <row r="124" spans="1:9" ht="72">
      <c r="A124" s="74">
        <v>105</v>
      </c>
      <c r="B124" s="75" t="s">
        <v>224</v>
      </c>
      <c r="C124" s="75" t="s">
        <v>1701</v>
      </c>
      <c r="D124" s="75" t="s">
        <v>1026</v>
      </c>
      <c r="E124" s="75" t="s">
        <v>897</v>
      </c>
      <c r="F124" s="75" t="s">
        <v>1597</v>
      </c>
      <c r="G124" s="75" t="str">
        <f>+IF(ISERROR(VLOOKUP(E124,Tareas_Maestro!A:E,5,0)),"",VLOOKUP(E124,Tareas_Maestro!A:E,5,0))</f>
        <v>Asegurar curso de inducción completo para nuevos ingresos</v>
      </c>
      <c r="H124" s="77" t="s">
        <v>1270</v>
      </c>
      <c r="I124" s="75" t="s">
        <v>99</v>
      </c>
    </row>
    <row r="125" spans="1:9" ht="57.6">
      <c r="A125" s="74">
        <v>106</v>
      </c>
      <c r="B125" s="75" t="s">
        <v>224</v>
      </c>
      <c r="C125" s="75" t="s">
        <v>1702</v>
      </c>
      <c r="D125" s="75" t="s">
        <v>1027</v>
      </c>
      <c r="E125" s="75" t="s">
        <v>897</v>
      </c>
      <c r="F125" s="75" t="s">
        <v>1597</v>
      </c>
      <c r="G125" s="75" t="str">
        <f>+IF(ISERROR(VLOOKUP(E125,Tareas_Maestro!A:E,5,0)),"",VLOOKUP(E125,Tareas_Maestro!A:E,5,0))</f>
        <v>Asegurar curso de inducción completo para nuevos ingresos</v>
      </c>
      <c r="H125" s="77" t="s">
        <v>1270</v>
      </c>
      <c r="I125" s="75" t="s">
        <v>99</v>
      </c>
    </row>
    <row r="126" spans="1:9" ht="43.15">
      <c r="A126" s="74">
        <v>107</v>
      </c>
      <c r="B126" s="75" t="s">
        <v>224</v>
      </c>
      <c r="C126" s="75" t="s">
        <v>1703</v>
      </c>
      <c r="D126" s="75" t="s">
        <v>1028</v>
      </c>
      <c r="E126" s="75" t="s">
        <v>897</v>
      </c>
      <c r="F126" s="75" t="s">
        <v>1597</v>
      </c>
      <c r="G126" s="75" t="str">
        <f>+IF(ISERROR(VLOOKUP(E126,Tareas_Maestro!A:E,5,0)),"",VLOOKUP(E126,Tareas_Maestro!A:E,5,0))</f>
        <v>Asegurar curso de inducción completo para nuevos ingresos</v>
      </c>
      <c r="H126" s="77" t="s">
        <v>1270</v>
      </c>
      <c r="I126" s="75" t="s">
        <v>99</v>
      </c>
    </row>
    <row r="127" spans="1:9" ht="43.15">
      <c r="A127" s="1">
        <v>324</v>
      </c>
      <c r="B127" s="75" t="s">
        <v>224</v>
      </c>
      <c r="C127" s="75" t="s">
        <v>1703</v>
      </c>
      <c r="D127" s="75" t="s">
        <v>227</v>
      </c>
      <c r="E127" s="75" t="s">
        <v>1490</v>
      </c>
      <c r="F127" s="75" t="s">
        <v>1607</v>
      </c>
      <c r="G127" s="75" t="str">
        <f>+IF(ISERROR(VLOOKUP(E127,Tareas_Maestro!A:E,5,0)),"",VLOOKUP(E127,Tareas_Maestro!A:E,5,0))</f>
        <v>Realizar registros de la inducción de New hires</v>
      </c>
      <c r="H127" s="77" t="s">
        <v>1270</v>
      </c>
      <c r="I127" s="75" t="s">
        <v>99</v>
      </c>
    </row>
    <row r="128" spans="1:9" ht="43.15">
      <c r="A128" s="74">
        <v>108</v>
      </c>
      <c r="B128" s="75" t="s">
        <v>224</v>
      </c>
      <c r="C128" s="75" t="s">
        <v>1704</v>
      </c>
      <c r="D128" s="75" t="s">
        <v>1029</v>
      </c>
      <c r="E128" s="75" t="s">
        <v>1490</v>
      </c>
      <c r="F128" s="75" t="s">
        <v>1597</v>
      </c>
      <c r="G128" s="75" t="str">
        <f>+IF(ISERROR(VLOOKUP(E128,Tareas_Maestro!A:E,5,0)),"",VLOOKUP(E128,Tareas_Maestro!A:E,5,0))</f>
        <v>Realizar registros de la inducción de New hires</v>
      </c>
      <c r="H128" s="77" t="s">
        <v>1270</v>
      </c>
      <c r="I128" s="75" t="s">
        <v>99</v>
      </c>
    </row>
    <row r="129" spans="1:9" ht="28.9">
      <c r="A129" s="74">
        <v>109</v>
      </c>
      <c r="B129" s="75" t="s">
        <v>229</v>
      </c>
      <c r="C129" s="75" t="s">
        <v>1705</v>
      </c>
      <c r="D129" s="75" t="s">
        <v>1031</v>
      </c>
      <c r="E129" s="75" t="s">
        <v>903</v>
      </c>
      <c r="F129" s="75" t="s">
        <v>1597</v>
      </c>
      <c r="G129" s="75" t="str">
        <f>+IF(ISERROR(VLOOKUP(E129,Tareas_Maestro!A:E,5,0)),"",VLOOKUP(E129,Tareas_Maestro!A:E,5,0))</f>
        <v>Establecer y mantener roadmap de capacitación estructurado</v>
      </c>
      <c r="H129" s="77" t="s">
        <v>1270</v>
      </c>
      <c r="I129" s="75" t="s">
        <v>99</v>
      </c>
    </row>
    <row r="130" spans="1:9" ht="43.15">
      <c r="A130" s="74">
        <v>110</v>
      </c>
      <c r="B130" s="75" t="s">
        <v>229</v>
      </c>
      <c r="C130" s="75" t="s">
        <v>1706</v>
      </c>
      <c r="D130" s="75" t="s">
        <v>1032</v>
      </c>
      <c r="E130" s="75" t="s">
        <v>903</v>
      </c>
      <c r="F130" s="75" t="s">
        <v>1597</v>
      </c>
      <c r="G130" s="75" t="str">
        <f>+IF(ISERROR(VLOOKUP(E130,Tareas_Maestro!A:E,5,0)),"",VLOOKUP(E130,Tareas_Maestro!A:E,5,0))</f>
        <v>Establecer y mantener roadmap de capacitación estructurado</v>
      </c>
      <c r="H130" s="77" t="s">
        <v>1270</v>
      </c>
      <c r="I130" s="75" t="s">
        <v>99</v>
      </c>
    </row>
    <row r="131" spans="1:9" ht="28.9">
      <c r="A131" s="74">
        <v>111</v>
      </c>
      <c r="B131" s="75" t="s">
        <v>229</v>
      </c>
      <c r="C131" s="75" t="s">
        <v>1707</v>
      </c>
      <c r="D131" s="75" t="s">
        <v>1033</v>
      </c>
      <c r="E131" s="75" t="s">
        <v>903</v>
      </c>
      <c r="F131" s="75" t="s">
        <v>1597</v>
      </c>
      <c r="G131" s="75" t="str">
        <f>+IF(ISERROR(VLOOKUP(E131,Tareas_Maestro!A:E,5,0)),"",VLOOKUP(E131,Tareas_Maestro!A:E,5,0))</f>
        <v>Establecer y mantener roadmap de capacitación estructurado</v>
      </c>
      <c r="H131" s="77" t="s">
        <v>1270</v>
      </c>
      <c r="I131" s="75" t="s">
        <v>99</v>
      </c>
    </row>
    <row r="132" spans="1:9" ht="43.15">
      <c r="A132" s="74">
        <v>112</v>
      </c>
      <c r="B132" s="75" t="s">
        <v>229</v>
      </c>
      <c r="C132" s="75" t="s">
        <v>1708</v>
      </c>
      <c r="D132" s="75" t="s">
        <v>1034</v>
      </c>
      <c r="E132" s="75" t="s">
        <v>903</v>
      </c>
      <c r="F132" s="75" t="s">
        <v>1597</v>
      </c>
      <c r="G132" s="75" t="str">
        <f>+IF(ISERROR(VLOOKUP(E132,Tareas_Maestro!A:E,5,0)),"",VLOOKUP(E132,Tareas_Maestro!A:E,5,0))</f>
        <v>Establecer y mantener roadmap de capacitación estructurado</v>
      </c>
      <c r="H132" s="77" t="s">
        <v>1270</v>
      </c>
      <c r="I132" s="75" t="s">
        <v>99</v>
      </c>
    </row>
    <row r="133" spans="1:9" ht="28.9">
      <c r="A133" s="74">
        <v>113</v>
      </c>
      <c r="B133" s="75" t="s">
        <v>229</v>
      </c>
      <c r="C133" s="75" t="s">
        <v>1709</v>
      </c>
      <c r="D133" s="75" t="s">
        <v>1035</v>
      </c>
      <c r="E133" s="75" t="s">
        <v>903</v>
      </c>
      <c r="F133" s="75" t="s">
        <v>1597</v>
      </c>
      <c r="G133" s="75" t="str">
        <f>+IF(ISERROR(VLOOKUP(E133,Tareas_Maestro!A:E,5,0)),"",VLOOKUP(E133,Tareas_Maestro!A:E,5,0))</f>
        <v>Establecer y mantener roadmap de capacitación estructurado</v>
      </c>
      <c r="H133" s="77" t="s">
        <v>1270</v>
      </c>
      <c r="I133" s="75" t="s">
        <v>99</v>
      </c>
    </row>
    <row r="134" spans="1:9" ht="28.9">
      <c r="A134" s="1">
        <v>326</v>
      </c>
      <c r="B134" s="75" t="s">
        <v>229</v>
      </c>
      <c r="C134" s="75" t="s">
        <v>1709</v>
      </c>
      <c r="D134" s="75" t="s">
        <v>234</v>
      </c>
      <c r="E134" s="75" t="s">
        <v>1496</v>
      </c>
      <c r="F134" s="75" t="s">
        <v>1607</v>
      </c>
      <c r="G134" s="75" t="str">
        <f>+IF(ISERROR(VLOOKUP(E134,Tareas_Maestro!A:E,5,0)),"",VLOOKUP(E134,Tareas_Maestro!A:E,5,0))</f>
        <v>Generar cursos de acuerdo con IDPs de agentes</v>
      </c>
      <c r="H134" s="77" t="s">
        <v>1270</v>
      </c>
      <c r="I134" s="75" t="s">
        <v>99</v>
      </c>
    </row>
    <row r="135" spans="1:9" ht="43.15">
      <c r="A135" s="1">
        <v>327</v>
      </c>
      <c r="B135" s="75" t="s">
        <v>229</v>
      </c>
      <c r="C135" s="75" t="s">
        <v>1709</v>
      </c>
      <c r="D135" s="75" t="s">
        <v>234</v>
      </c>
      <c r="E135" s="75" t="s">
        <v>1497</v>
      </c>
      <c r="F135" s="75" t="s">
        <v>1607</v>
      </c>
      <c r="G135" s="75" t="str">
        <f>+IF(ISERROR(VLOOKUP(E135,Tareas_Maestro!A:E,5,0)),"",VLOOKUP(E135,Tareas_Maestro!A:E,5,0))</f>
        <v>Generar cursos de acuerdo con resultado de los Quiz, cuando se detectan oportunidades</v>
      </c>
      <c r="H135" s="77" t="s">
        <v>1270</v>
      </c>
      <c r="I135" s="75" t="s">
        <v>99</v>
      </c>
    </row>
    <row r="136" spans="1:9" ht="43.15">
      <c r="A136" s="1">
        <v>328</v>
      </c>
      <c r="B136" s="75" t="s">
        <v>229</v>
      </c>
      <c r="C136" s="75" t="s">
        <v>1709</v>
      </c>
      <c r="D136" s="75" t="s">
        <v>234</v>
      </c>
      <c r="E136" s="75" t="s">
        <v>1498</v>
      </c>
      <c r="F136" s="75" t="s">
        <v>1607</v>
      </c>
      <c r="G136" s="75" t="str">
        <f>+IF(ISERROR(VLOOKUP(E136,Tareas_Maestro!A:E,5,0)),"",VLOOKUP(E136,Tareas_Maestro!A:E,5,0))</f>
        <v>Generación de cursos de acuerdo con Oportunidades observadas en los coachings</v>
      </c>
      <c r="H136" s="77" t="s">
        <v>1270</v>
      </c>
      <c r="I136" s="75" t="s">
        <v>99</v>
      </c>
    </row>
    <row r="137" spans="1:9" ht="43.15">
      <c r="A137" s="1">
        <v>329</v>
      </c>
      <c r="B137" s="75" t="s">
        <v>229</v>
      </c>
      <c r="C137" s="75" t="s">
        <v>1709</v>
      </c>
      <c r="D137" s="75" t="s">
        <v>234</v>
      </c>
      <c r="E137" s="75" t="s">
        <v>1499</v>
      </c>
      <c r="F137" s="75" t="s">
        <v>1607</v>
      </c>
      <c r="G137" s="75" t="str">
        <f>+IF(ISERROR(VLOOKUP(E137,Tareas_Maestro!A:E,5,0)),"",VLOOKUP(E137,Tareas_Maestro!A:E,5,0))</f>
        <v>Generación de cursos de acuerdo con Oportunidades observadas en los reportes</v>
      </c>
      <c r="H137" s="77" t="s">
        <v>1270</v>
      </c>
      <c r="I137" s="75" t="s">
        <v>99</v>
      </c>
    </row>
    <row r="138" spans="1:9" ht="43.15">
      <c r="A138" s="1">
        <v>330</v>
      </c>
      <c r="B138" s="75" t="s">
        <v>229</v>
      </c>
      <c r="C138" s="75" t="s">
        <v>1709</v>
      </c>
      <c r="D138" s="75" t="s">
        <v>234</v>
      </c>
      <c r="E138" s="75" t="s">
        <v>1500</v>
      </c>
      <c r="F138" s="75" t="s">
        <v>1607</v>
      </c>
      <c r="G138" s="75" t="str">
        <f>+IF(ISERROR(VLOOKUP(E138,Tareas_Maestro!A:E,5,0)),"",VLOOKUP(E138,Tareas_Maestro!A:E,5,0))</f>
        <v>Generación de cursos de acuerdo con Oportunidades observadas en los monitoreos de calidad</v>
      </c>
      <c r="H138" s="77" t="s">
        <v>1270</v>
      </c>
      <c r="I138" s="75" t="s">
        <v>99</v>
      </c>
    </row>
    <row r="139" spans="1:9" ht="28.9">
      <c r="A139" s="74">
        <v>114</v>
      </c>
      <c r="B139" s="75" t="s">
        <v>229</v>
      </c>
      <c r="C139" s="75" t="s">
        <v>1710</v>
      </c>
      <c r="D139" s="75" t="s">
        <v>1036</v>
      </c>
      <c r="E139" s="75" t="s">
        <v>903</v>
      </c>
      <c r="F139" s="75" t="s">
        <v>1597</v>
      </c>
      <c r="G139" s="75" t="str">
        <f>+IF(ISERROR(VLOOKUP(E139,Tareas_Maestro!A:E,5,0)),"",VLOOKUP(E139,Tareas_Maestro!A:E,5,0))</f>
        <v>Establecer y mantener roadmap de capacitación estructurado</v>
      </c>
      <c r="H139" s="77" t="s">
        <v>1270</v>
      </c>
      <c r="I139" s="75" t="s">
        <v>99</v>
      </c>
    </row>
    <row r="140" spans="1:9" ht="43.15">
      <c r="A140" s="1">
        <v>325</v>
      </c>
      <c r="B140" s="75" t="s">
        <v>229</v>
      </c>
      <c r="C140" s="75" t="s">
        <v>1710</v>
      </c>
      <c r="D140" s="75" t="s">
        <v>235</v>
      </c>
      <c r="E140" s="75" t="s">
        <v>1495</v>
      </c>
      <c r="F140" s="75" t="s">
        <v>1607</v>
      </c>
      <c r="G140" s="75" t="str">
        <f>+IF(ISERROR(VLOOKUP(E140,Tareas_Maestro!A:E,5,0)),"",VLOOKUP(E140,Tareas_Maestro!A:E,5,0))</f>
        <v>Dar visibilidad a agentes del plan de entrenamiento (Roadmap) y asegurar su comprensión</v>
      </c>
      <c r="H140" s="77" t="s">
        <v>1270</v>
      </c>
      <c r="I140" s="75" t="s">
        <v>99</v>
      </c>
    </row>
    <row r="141" spans="1:9" ht="57.6">
      <c r="A141" s="74">
        <v>115</v>
      </c>
      <c r="B141" s="75" t="s">
        <v>236</v>
      </c>
      <c r="C141" s="75" t="s">
        <v>1711</v>
      </c>
      <c r="D141" s="75" t="s">
        <v>1038</v>
      </c>
      <c r="E141" s="75" t="s">
        <v>907</v>
      </c>
      <c r="F141" s="75" t="s">
        <v>1597</v>
      </c>
      <c r="G141" s="75" t="str">
        <f>+IF(ISERROR(VLOOKUP(E141,Tareas_Maestro!A:E,5,0)),"",VLOOKUP(E141,Tareas_Maestro!A:E,5,0))</f>
        <v>Realizar ejercicios de verificación de habilidades y conocimiento (Quiz) y planes de acción de acuerdo con resultados</v>
      </c>
      <c r="H141" s="77" t="s">
        <v>1270</v>
      </c>
      <c r="I141" s="75" t="s">
        <v>99</v>
      </c>
    </row>
    <row r="142" spans="1:9" ht="57.6">
      <c r="A142" s="74">
        <v>116</v>
      </c>
      <c r="B142" s="75" t="s">
        <v>236</v>
      </c>
      <c r="C142" s="75" t="s">
        <v>1712</v>
      </c>
      <c r="D142" s="75" t="s">
        <v>1039</v>
      </c>
      <c r="E142" s="75" t="s">
        <v>907</v>
      </c>
      <c r="F142" s="75" t="s">
        <v>1597</v>
      </c>
      <c r="G142" s="75" t="str">
        <f>+IF(ISERROR(VLOOKUP(E142,Tareas_Maestro!A:E,5,0)),"",VLOOKUP(E142,Tareas_Maestro!A:E,5,0))</f>
        <v>Realizar ejercicios de verificación de habilidades y conocimiento (Quiz) y planes de acción de acuerdo con resultados</v>
      </c>
      <c r="H142" s="77" t="s">
        <v>1270</v>
      </c>
      <c r="I142" s="75" t="s">
        <v>99</v>
      </c>
    </row>
    <row r="143" spans="1:9" ht="57.6">
      <c r="A143" s="1">
        <v>331</v>
      </c>
      <c r="B143" s="75" t="s">
        <v>236</v>
      </c>
      <c r="C143" s="75" t="s">
        <v>1712</v>
      </c>
      <c r="D143" s="75" t="s">
        <v>238</v>
      </c>
      <c r="E143" s="75" t="s">
        <v>1505</v>
      </c>
      <c r="F143" s="75" t="s">
        <v>1607</v>
      </c>
      <c r="G143" s="75" t="str">
        <f>+IF(ISERROR(VLOOKUP(E143,Tareas_Maestro!A:E,5,0)),"",VLOOKUP(E143,Tareas_Maestro!A:E,5,0))</f>
        <v>Realizar correciones de los Quiz y comunicación de resultados al equipo, definiendo nota de aprobación</v>
      </c>
      <c r="H143" s="77" t="s">
        <v>1270</v>
      </c>
      <c r="I143" s="75" t="s">
        <v>99</v>
      </c>
    </row>
    <row r="144" spans="1:9" ht="57.6">
      <c r="A144" s="74">
        <v>117</v>
      </c>
      <c r="B144" s="75" t="s">
        <v>236</v>
      </c>
      <c r="C144" s="75" t="s">
        <v>1713</v>
      </c>
      <c r="D144" s="75" t="s">
        <v>1040</v>
      </c>
      <c r="E144" s="75" t="s">
        <v>1505</v>
      </c>
      <c r="F144" s="75" t="s">
        <v>1597</v>
      </c>
      <c r="G144" s="75" t="str">
        <f>+IF(ISERROR(VLOOKUP(E144,Tareas_Maestro!A:E,5,0)),"",VLOOKUP(E144,Tareas_Maestro!A:E,5,0))</f>
        <v>Realizar correciones de los Quiz y comunicación de resultados al equipo, definiendo nota de aprobación</v>
      </c>
      <c r="H144" s="77" t="s">
        <v>1270</v>
      </c>
      <c r="I144" s="75" t="s">
        <v>99</v>
      </c>
    </row>
    <row r="145" spans="1:10" ht="57.6">
      <c r="A145" s="74">
        <v>118</v>
      </c>
      <c r="B145" s="75" t="s">
        <v>240</v>
      </c>
      <c r="C145" s="75" t="s">
        <v>1714</v>
      </c>
      <c r="D145" s="75" t="s">
        <v>1042</v>
      </c>
      <c r="E145" s="75" t="s">
        <v>912</v>
      </c>
      <c r="F145" s="75" t="s">
        <v>1597</v>
      </c>
      <c r="G145" s="75" t="str">
        <f>+IF(ISERROR(VLOOKUP(E145,Tareas_Maestro!A:E,5,0)),"",VLOOKUP(E145,Tareas_Maestro!A:E,5,0))</f>
        <v>Evaluar a nuevo personal en calidad para poder asegurar luego el "Go Live" y documentar los resultados de cada New Hire</v>
      </c>
      <c r="H145" s="77" t="s">
        <v>1270</v>
      </c>
      <c r="I145" s="75" t="s">
        <v>99</v>
      </c>
    </row>
    <row r="146" spans="1:10" ht="57.6">
      <c r="A146" s="74">
        <v>119</v>
      </c>
      <c r="B146" s="75" t="s">
        <v>240</v>
      </c>
      <c r="C146" s="75" t="s">
        <v>1715</v>
      </c>
      <c r="D146" s="75" t="s">
        <v>1043</v>
      </c>
      <c r="E146" s="75" t="s">
        <v>912</v>
      </c>
      <c r="F146" s="75" t="s">
        <v>1597</v>
      </c>
      <c r="G146" s="75" t="str">
        <f>+IF(ISERROR(VLOOKUP(E146,Tareas_Maestro!A:E,5,0)),"",VLOOKUP(E146,Tareas_Maestro!A:E,5,0))</f>
        <v>Evaluar a nuevo personal en calidad para poder asegurar luego el "Go Live" y documentar los resultados de cada New Hire</v>
      </c>
      <c r="H146" s="77" t="s">
        <v>1270</v>
      </c>
      <c r="I146" s="75" t="s">
        <v>99</v>
      </c>
    </row>
    <row r="147" spans="1:10" ht="57.6">
      <c r="A147" s="74">
        <v>120</v>
      </c>
      <c r="B147" s="75" t="s">
        <v>240</v>
      </c>
      <c r="C147" s="75" t="s">
        <v>1716</v>
      </c>
      <c r="D147" s="75" t="s">
        <v>1044</v>
      </c>
      <c r="E147" s="75" t="s">
        <v>912</v>
      </c>
      <c r="F147" s="75" t="s">
        <v>1597</v>
      </c>
      <c r="G147" s="75" t="str">
        <f>+IF(ISERROR(VLOOKUP(E147,Tareas_Maestro!A:E,5,0)),"",VLOOKUP(E147,Tareas_Maestro!A:E,5,0))</f>
        <v>Evaluar a nuevo personal en calidad para poder asegurar luego el "Go Live" y documentar los resultados de cada New Hire</v>
      </c>
      <c r="H147" s="77" t="s">
        <v>1270</v>
      </c>
      <c r="I147" s="75" t="s">
        <v>99</v>
      </c>
    </row>
    <row r="148" spans="1:10" ht="57.6">
      <c r="A148" s="74">
        <v>121</v>
      </c>
      <c r="B148" s="75" t="s">
        <v>240</v>
      </c>
      <c r="C148" s="75" t="s">
        <v>1717</v>
      </c>
      <c r="D148" s="75" t="s">
        <v>1045</v>
      </c>
      <c r="E148" s="75" t="s">
        <v>912</v>
      </c>
      <c r="F148" s="75" t="s">
        <v>1597</v>
      </c>
      <c r="G148" s="75" t="str">
        <f>+IF(ISERROR(VLOOKUP(E148,Tareas_Maestro!A:E,5,0)),"",VLOOKUP(E148,Tareas_Maestro!A:E,5,0))</f>
        <v>Evaluar a nuevo personal en calidad para poder asegurar luego el "Go Live" y documentar los resultados de cada New Hire</v>
      </c>
      <c r="H148" s="77" t="s">
        <v>1270</v>
      </c>
      <c r="I148" s="75" t="s">
        <v>99</v>
      </c>
    </row>
    <row r="149" spans="1:10" ht="57.6">
      <c r="A149" s="74">
        <v>122</v>
      </c>
      <c r="B149" s="75" t="s">
        <v>245</v>
      </c>
      <c r="C149" s="75" t="s">
        <v>1718</v>
      </c>
      <c r="D149" s="75" t="s">
        <v>1047</v>
      </c>
      <c r="E149" s="75" t="s">
        <v>916</v>
      </c>
      <c r="F149" s="75" t="s">
        <v>1597</v>
      </c>
      <c r="G149" s="75" t="str">
        <f>+IF(ISERROR(VLOOKUP(E149,Tareas_Maestro!A:E,5,0)),"",VLOOKUP(E149,Tareas_Maestro!A:E,5,0))</f>
        <v>Establecer programa de coaching formalizado para agentes de CS y ejecutarlo mensualmente</v>
      </c>
      <c r="H149" s="77" t="s">
        <v>1270</v>
      </c>
      <c r="I149" s="75" t="s">
        <v>99</v>
      </c>
    </row>
    <row r="150" spans="1:10" ht="57.6">
      <c r="A150" s="1">
        <v>332</v>
      </c>
      <c r="B150" s="75" t="s">
        <v>245</v>
      </c>
      <c r="C150" s="75" t="s">
        <v>1718</v>
      </c>
      <c r="D150" s="75" t="s">
        <v>246</v>
      </c>
      <c r="E150" s="75" t="s">
        <v>1515</v>
      </c>
      <c r="F150" s="75" t="s">
        <v>1607</v>
      </c>
      <c r="G150" s="75" t="str">
        <f>+IF(ISERROR(VLOOKUP(E150,Tareas_Maestro!A:E,5,0)),"",VLOOKUP(E150,Tareas_Maestro!A:E,5,0))</f>
        <v>Programar sesiones de coaching mensual para todos los agentes en períodos Non-peak</v>
      </c>
      <c r="H150" s="77" t="s">
        <v>1270</v>
      </c>
      <c r="I150" s="75" t="s">
        <v>99</v>
      </c>
    </row>
    <row r="151" spans="1:10" ht="57.6">
      <c r="A151" s="74">
        <v>123</v>
      </c>
      <c r="B151" s="75" t="s">
        <v>245</v>
      </c>
      <c r="C151" s="75" t="s">
        <v>1719</v>
      </c>
      <c r="D151" s="75" t="s">
        <v>1048</v>
      </c>
      <c r="E151" s="75" t="s">
        <v>916</v>
      </c>
      <c r="F151" s="75" t="s">
        <v>1597</v>
      </c>
      <c r="G151" s="75" t="str">
        <f>+IF(ISERROR(VLOOKUP(E151,Tareas_Maestro!A:E,5,0)),"",VLOOKUP(E151,Tareas_Maestro!A:E,5,0))</f>
        <v>Establecer programa de coaching formalizado para agentes de CS y ejecutarlo mensualmente</v>
      </c>
      <c r="H151" s="77" t="s">
        <v>1270</v>
      </c>
      <c r="I151" s="75" t="s">
        <v>99</v>
      </c>
    </row>
    <row r="152" spans="1:10" ht="57.6">
      <c r="A152" s="74">
        <v>124</v>
      </c>
      <c r="B152" s="75" t="s">
        <v>245</v>
      </c>
      <c r="C152" s="75" t="s">
        <v>1720</v>
      </c>
      <c r="D152" s="75" t="s">
        <v>1049</v>
      </c>
      <c r="E152" s="75" t="s">
        <v>916</v>
      </c>
      <c r="F152" s="75" t="s">
        <v>1597</v>
      </c>
      <c r="G152" s="75" t="str">
        <f>+IF(ISERROR(VLOOKUP(E152,Tareas_Maestro!A:E,5,0)),"",VLOOKUP(E152,Tareas_Maestro!A:E,5,0))</f>
        <v>Establecer programa de coaching formalizado para agentes de CS y ejecutarlo mensualmente</v>
      </c>
      <c r="H152" s="77" t="s">
        <v>1270</v>
      </c>
      <c r="I152" s="75" t="s">
        <v>99</v>
      </c>
    </row>
    <row r="153" spans="1:10" ht="57.6">
      <c r="A153" s="74">
        <v>125</v>
      </c>
      <c r="B153" s="75" t="s">
        <v>245</v>
      </c>
      <c r="C153" s="75" t="s">
        <v>1721</v>
      </c>
      <c r="D153" s="75" t="s">
        <v>1050</v>
      </c>
      <c r="E153" s="75" t="s">
        <v>916</v>
      </c>
      <c r="F153" s="75" t="s">
        <v>1597</v>
      </c>
      <c r="G153" s="75" t="str">
        <f>+IF(ISERROR(VLOOKUP(E153,Tareas_Maestro!A:E,5,0)),"",VLOOKUP(E153,Tareas_Maestro!A:E,5,0))</f>
        <v>Establecer programa de coaching formalizado para agentes de CS y ejecutarlo mensualmente</v>
      </c>
      <c r="H153" s="77" t="s">
        <v>1270</v>
      </c>
      <c r="I153" s="75" t="s">
        <v>99</v>
      </c>
    </row>
    <row r="154" spans="1:10" ht="57.6">
      <c r="A154" s="1">
        <v>333</v>
      </c>
      <c r="B154" s="75" t="s">
        <v>245</v>
      </c>
      <c r="C154" s="75" t="s">
        <v>1721</v>
      </c>
      <c r="D154" s="75" t="s">
        <v>249</v>
      </c>
      <c r="E154" s="75" t="s">
        <v>1516</v>
      </c>
      <c r="F154" s="75" t="s">
        <v>1607</v>
      </c>
      <c r="G154" s="75" t="str">
        <f>+IF(ISERROR(VLOOKUP(E154,Tareas_Maestro!A:E,5,0)),"",VLOOKUP(E154,Tareas_Maestro!A:E,5,0))</f>
        <v>Aseguirar registro para dar visibilidad del coaching mensual a los agentes de cada equipo</v>
      </c>
      <c r="H154" s="77" t="s">
        <v>1270</v>
      </c>
      <c r="I154" s="75" t="s">
        <v>99</v>
      </c>
    </row>
    <row r="155" spans="1:10" ht="43.15">
      <c r="A155" s="74">
        <v>126</v>
      </c>
      <c r="B155" s="75" t="s">
        <v>245</v>
      </c>
      <c r="C155" s="75" t="s">
        <v>1722</v>
      </c>
      <c r="D155" s="75" t="s">
        <v>1051</v>
      </c>
      <c r="E155" s="75" t="s">
        <v>916</v>
      </c>
      <c r="F155" s="75" t="s">
        <v>1597</v>
      </c>
      <c r="G155" s="75" t="str">
        <f>+IF(ISERROR(VLOOKUP(E155,Tareas_Maestro!A:E,5,0)),"",VLOOKUP(E155,Tareas_Maestro!A:E,5,0))</f>
        <v>Establecer programa de coaching formalizado para agentes de CS y ejecutarlo mensualmente</v>
      </c>
      <c r="H155" s="77" t="s">
        <v>1270</v>
      </c>
      <c r="I155" s="75" t="s">
        <v>99</v>
      </c>
    </row>
    <row r="156" spans="1:10" ht="43.15">
      <c r="A156" s="1">
        <v>334</v>
      </c>
      <c r="B156" s="75" t="s">
        <v>245</v>
      </c>
      <c r="C156" s="75" t="s">
        <v>1722</v>
      </c>
      <c r="D156" s="75" t="s">
        <v>250</v>
      </c>
      <c r="E156" s="75" t="s">
        <v>1517</v>
      </c>
      <c r="F156" s="75" t="s">
        <v>1607</v>
      </c>
      <c r="G156" s="75" t="str">
        <f>+IF(ISERROR(VLOOKUP(E156,Tareas_Maestro!A:E,5,0)),"",VLOOKUP(E156,Tareas_Maestro!A:E,5,0))</f>
        <v>Realizar feedback inmediato a los agentes con baja performance en algún KPI según corresponda</v>
      </c>
      <c r="H156" s="77" t="s">
        <v>1270</v>
      </c>
      <c r="I156" s="75" t="s">
        <v>114</v>
      </c>
      <c r="J156" s="75" t="s">
        <v>1606</v>
      </c>
    </row>
    <row r="157" spans="1:10" ht="43.15">
      <c r="A157" s="74">
        <v>127</v>
      </c>
      <c r="B157" s="75" t="s">
        <v>251</v>
      </c>
      <c r="C157" s="75" t="s">
        <v>1723</v>
      </c>
      <c r="D157" s="75" t="s">
        <v>1053</v>
      </c>
      <c r="E157" s="75" t="s">
        <v>921</v>
      </c>
      <c r="F157" s="75" t="s">
        <v>1597</v>
      </c>
      <c r="G157" s="75" t="str">
        <f>+IF(ISERROR(VLOOKUP(E157,Tareas_Maestro!A:E,5,0)),"",VLOOKUP(E157,Tareas_Maestro!A:E,5,0))</f>
        <v>Realizar coaching mensual en formato T-GROW para cada agente</v>
      </c>
      <c r="H157" s="77" t="s">
        <v>1270</v>
      </c>
      <c r="I157" s="75" t="s">
        <v>99</v>
      </c>
    </row>
    <row r="158" spans="1:10" ht="43.15">
      <c r="A158" s="74">
        <v>128</v>
      </c>
      <c r="B158" s="75" t="s">
        <v>251</v>
      </c>
      <c r="C158" s="75" t="s">
        <v>1724</v>
      </c>
      <c r="D158" s="75" t="s">
        <v>1054</v>
      </c>
      <c r="E158" s="75" t="s">
        <v>921</v>
      </c>
      <c r="F158" s="75" t="s">
        <v>1597</v>
      </c>
      <c r="G158" s="75" t="str">
        <f>+IF(ISERROR(VLOOKUP(E158,Tareas_Maestro!A:E,5,0)),"",VLOOKUP(E158,Tareas_Maestro!A:E,5,0))</f>
        <v>Realizar coaching mensual en formato T-GROW para cada agente</v>
      </c>
      <c r="H158" s="77" t="s">
        <v>1270</v>
      </c>
      <c r="I158" s="75" t="s">
        <v>99</v>
      </c>
    </row>
    <row r="159" spans="1:10" ht="43.15">
      <c r="A159" s="74">
        <v>129</v>
      </c>
      <c r="B159" s="75" t="s">
        <v>251</v>
      </c>
      <c r="C159" s="75" t="s">
        <v>1725</v>
      </c>
      <c r="D159" s="75" t="s">
        <v>1055</v>
      </c>
      <c r="E159" s="75" t="s">
        <v>921</v>
      </c>
      <c r="F159" s="75" t="s">
        <v>1597</v>
      </c>
      <c r="G159" s="75" t="str">
        <f>+IF(ISERROR(VLOOKUP(E159,Tareas_Maestro!A:E,5,0)),"",VLOOKUP(E159,Tareas_Maestro!A:E,5,0))</f>
        <v>Realizar coaching mensual en formato T-GROW para cada agente</v>
      </c>
      <c r="H159" s="77" t="s">
        <v>1270</v>
      </c>
      <c r="I159" s="75" t="s">
        <v>99</v>
      </c>
    </row>
    <row r="160" spans="1:10" ht="43.15">
      <c r="A160" s="74">
        <v>130</v>
      </c>
      <c r="B160" s="75" t="s">
        <v>251</v>
      </c>
      <c r="C160" s="75" t="s">
        <v>1726</v>
      </c>
      <c r="D160" s="75" t="s">
        <v>1056</v>
      </c>
      <c r="E160" s="75" t="s">
        <v>921</v>
      </c>
      <c r="F160" s="75" t="s">
        <v>1597</v>
      </c>
      <c r="G160" s="75" t="str">
        <f>+IF(ISERROR(VLOOKUP(E160,Tareas_Maestro!A:E,5,0)),"",VLOOKUP(E160,Tareas_Maestro!A:E,5,0))</f>
        <v>Realizar coaching mensual en formato T-GROW para cada agente</v>
      </c>
      <c r="H160" s="77" t="s">
        <v>1270</v>
      </c>
      <c r="I160" s="75" t="s">
        <v>99</v>
      </c>
    </row>
    <row r="161" spans="1:9" ht="43.15">
      <c r="A161" s="74">
        <v>131</v>
      </c>
      <c r="B161" s="75" t="s">
        <v>251</v>
      </c>
      <c r="C161" s="75" t="s">
        <v>1727</v>
      </c>
      <c r="D161" s="75" t="s">
        <v>1057</v>
      </c>
      <c r="E161" s="75" t="s">
        <v>921</v>
      </c>
      <c r="F161" s="75" t="s">
        <v>1597</v>
      </c>
      <c r="G161" s="75" t="str">
        <f>+IF(ISERROR(VLOOKUP(E161,Tareas_Maestro!A:E,5,0)),"",VLOOKUP(E161,Tareas_Maestro!A:E,5,0))</f>
        <v>Realizar coaching mensual en formato T-GROW para cada agente</v>
      </c>
      <c r="H161" s="77" t="s">
        <v>1270</v>
      </c>
      <c r="I161" s="75" t="s">
        <v>99</v>
      </c>
    </row>
    <row r="162" spans="1:9" ht="43.15">
      <c r="A162" s="74">
        <v>132</v>
      </c>
      <c r="B162" s="75" t="s">
        <v>251</v>
      </c>
      <c r="C162" s="75" t="s">
        <v>1728</v>
      </c>
      <c r="D162" s="75" t="s">
        <v>1058</v>
      </c>
      <c r="E162" s="75" t="s">
        <v>921</v>
      </c>
      <c r="F162" s="75" t="s">
        <v>1597</v>
      </c>
      <c r="G162" s="75" t="str">
        <f>+IF(ISERROR(VLOOKUP(E162,Tareas_Maestro!A:E,5,0)),"",VLOOKUP(E162,Tareas_Maestro!A:E,5,0))</f>
        <v>Realizar coaching mensual en formato T-GROW para cada agente</v>
      </c>
      <c r="H162" s="77" t="s">
        <v>1270</v>
      </c>
      <c r="I162" s="75" t="s">
        <v>99</v>
      </c>
    </row>
    <row r="163" spans="1:9" ht="43.15">
      <c r="A163" s="74">
        <v>133</v>
      </c>
      <c r="B163" s="75" t="s">
        <v>251</v>
      </c>
      <c r="C163" s="75" t="s">
        <v>1729</v>
      </c>
      <c r="D163" s="75" t="s">
        <v>1059</v>
      </c>
      <c r="E163" s="75" t="s">
        <v>921</v>
      </c>
      <c r="F163" s="75" t="s">
        <v>1597</v>
      </c>
      <c r="G163" s="75" t="str">
        <f>+IF(ISERROR(VLOOKUP(E163,Tareas_Maestro!A:E,5,0)),"",VLOOKUP(E163,Tareas_Maestro!A:E,5,0))</f>
        <v>Realizar coaching mensual en formato T-GROW para cada agente</v>
      </c>
      <c r="H163" s="77" t="s">
        <v>1270</v>
      </c>
      <c r="I163" s="75" t="s">
        <v>99</v>
      </c>
    </row>
    <row r="164" spans="1:9" ht="43.15">
      <c r="A164" s="74">
        <v>134</v>
      </c>
      <c r="B164" s="75" t="s">
        <v>251</v>
      </c>
      <c r="C164" s="75" t="s">
        <v>1730</v>
      </c>
      <c r="D164" s="75" t="s">
        <v>1060</v>
      </c>
      <c r="E164" s="75" t="s">
        <v>921</v>
      </c>
      <c r="F164" s="75" t="s">
        <v>1597</v>
      </c>
      <c r="G164" s="75" t="str">
        <f>+IF(ISERROR(VLOOKUP(E164,Tareas_Maestro!A:E,5,0)),"",VLOOKUP(E164,Tareas_Maestro!A:E,5,0))</f>
        <v>Realizar coaching mensual en formato T-GROW para cada agente</v>
      </c>
      <c r="H164" s="77" t="s">
        <v>1270</v>
      </c>
      <c r="I164" s="75" t="s">
        <v>99</v>
      </c>
    </row>
    <row r="165" spans="1:9" ht="43.15">
      <c r="A165" s="74">
        <v>135</v>
      </c>
      <c r="B165" s="75" t="s">
        <v>251</v>
      </c>
      <c r="C165" s="75" t="s">
        <v>1731</v>
      </c>
      <c r="D165" s="75" t="s">
        <v>1061</v>
      </c>
      <c r="E165" s="75" t="s">
        <v>921</v>
      </c>
      <c r="F165" s="75" t="s">
        <v>1597</v>
      </c>
      <c r="G165" s="75" t="str">
        <f>+IF(ISERROR(VLOOKUP(E165,Tareas_Maestro!A:E,5,0)),"",VLOOKUP(E165,Tareas_Maestro!A:E,5,0))</f>
        <v>Realizar coaching mensual en formato T-GROW para cada agente</v>
      </c>
      <c r="H165" s="77" t="s">
        <v>1270</v>
      </c>
      <c r="I165" s="75" t="s">
        <v>99</v>
      </c>
    </row>
    <row r="166" spans="1:9" ht="43.15">
      <c r="A166" s="74">
        <v>136</v>
      </c>
      <c r="B166" s="75" t="s">
        <v>261</v>
      </c>
      <c r="C166" s="75" t="s">
        <v>1732</v>
      </c>
      <c r="D166" s="75" t="s">
        <v>1063</v>
      </c>
      <c r="E166" s="75" t="s">
        <v>925</v>
      </c>
      <c r="F166" s="75" t="s">
        <v>1597</v>
      </c>
      <c r="G166" s="75" t="str">
        <f>+IF(ISERROR(VLOOKUP(E166,Tareas_Maestro!A:E,5,0)),"",VLOOKUP(E166,Tareas_Maestro!A:E,5,0))</f>
        <v>Realizar ejercicios de calibración de QM trimestrales</v>
      </c>
      <c r="H166" s="77" t="s">
        <v>1270</v>
      </c>
      <c r="I166" s="75" t="s">
        <v>99</v>
      </c>
    </row>
    <row r="167" spans="1:9" ht="43.15">
      <c r="A167" s="74">
        <v>137</v>
      </c>
      <c r="B167" s="75" t="s">
        <v>261</v>
      </c>
      <c r="C167" s="75" t="s">
        <v>1733</v>
      </c>
      <c r="D167" s="75" t="s">
        <v>1064</v>
      </c>
      <c r="E167" s="75" t="s">
        <v>925</v>
      </c>
      <c r="F167" s="75" t="s">
        <v>1597</v>
      </c>
      <c r="G167" s="75" t="str">
        <f>+IF(ISERROR(VLOOKUP(E167,Tareas_Maestro!A:E,5,0)),"",VLOOKUP(E167,Tareas_Maestro!A:E,5,0))</f>
        <v>Realizar ejercicios de calibración de QM trimestrales</v>
      </c>
      <c r="H167" s="77" t="s">
        <v>1270</v>
      </c>
      <c r="I167" s="75" t="s">
        <v>99</v>
      </c>
    </row>
    <row r="168" spans="1:9" ht="57.6">
      <c r="A168" s="74">
        <v>138</v>
      </c>
      <c r="B168" s="75" t="s">
        <v>261</v>
      </c>
      <c r="C168" s="75" t="s">
        <v>1734</v>
      </c>
      <c r="D168" s="75" t="s">
        <v>1065</v>
      </c>
      <c r="E168" s="75" t="s">
        <v>925</v>
      </c>
      <c r="F168" s="75" t="s">
        <v>1597</v>
      </c>
      <c r="G168" s="75" t="str">
        <f>+IF(ISERROR(VLOOKUP(E168,Tareas_Maestro!A:E,5,0)),"",VLOOKUP(E168,Tareas_Maestro!A:E,5,0))</f>
        <v>Realizar ejercicios de calibración de QM trimestrales</v>
      </c>
      <c r="H168" s="77" t="s">
        <v>1270</v>
      </c>
      <c r="I168" s="75" t="s">
        <v>99</v>
      </c>
    </row>
    <row r="169" spans="1:9" ht="57.6">
      <c r="A169" s="74">
        <v>139</v>
      </c>
      <c r="B169" s="75" t="s">
        <v>261</v>
      </c>
      <c r="C169" s="75" t="s">
        <v>1735</v>
      </c>
      <c r="D169" s="75" t="s">
        <v>1066</v>
      </c>
      <c r="E169" s="75" t="s">
        <v>925</v>
      </c>
      <c r="F169" s="75" t="s">
        <v>1597</v>
      </c>
      <c r="G169" s="75" t="str">
        <f>+IF(ISERROR(VLOOKUP(E169,Tareas_Maestro!A:E,5,0)),"",VLOOKUP(E169,Tareas_Maestro!A:E,5,0))</f>
        <v>Realizar ejercicios de calibración de QM trimestrales</v>
      </c>
      <c r="H169" s="77" t="s">
        <v>1270</v>
      </c>
      <c r="I169" s="75" t="s">
        <v>99</v>
      </c>
    </row>
    <row r="170" spans="1:9" ht="28.9">
      <c r="A170" s="74">
        <v>140</v>
      </c>
      <c r="B170" s="75" t="s">
        <v>261</v>
      </c>
      <c r="C170" s="75" t="s">
        <v>1736</v>
      </c>
      <c r="D170" s="75" t="s">
        <v>1067</v>
      </c>
      <c r="E170" s="75" t="s">
        <v>925</v>
      </c>
      <c r="F170" s="75" t="s">
        <v>1597</v>
      </c>
      <c r="G170" s="75" t="str">
        <f>+IF(ISERROR(VLOOKUP(E170,Tareas_Maestro!A:E,5,0)),"",VLOOKUP(E170,Tareas_Maestro!A:E,5,0))</f>
        <v>Realizar ejercicios de calibración de QM trimestrales</v>
      </c>
      <c r="H170" s="77" t="s">
        <v>1270</v>
      </c>
      <c r="I170" s="75" t="s">
        <v>99</v>
      </c>
    </row>
    <row r="171" spans="1:9" ht="43.15">
      <c r="A171" s="74">
        <v>141</v>
      </c>
      <c r="B171" s="75" t="s">
        <v>267</v>
      </c>
      <c r="C171" s="75" t="s">
        <v>1737</v>
      </c>
      <c r="D171" s="75" t="s">
        <v>1069</v>
      </c>
      <c r="E171" s="75" t="s">
        <v>928</v>
      </c>
      <c r="F171" s="75" t="s">
        <v>1597</v>
      </c>
      <c r="G171" s="75" t="str">
        <f>+IF(ISERROR(VLOOKUP(E171,Tareas_Maestro!A:E,5,0)),"",VLOOKUP(E171,Tareas_Maestro!A:E,5,0))</f>
        <v>Realizar monitoreos de calidad regulares según cuota mensual para todos los agentes</v>
      </c>
      <c r="H171" s="77" t="s">
        <v>1270</v>
      </c>
      <c r="I171" s="75" t="s">
        <v>99</v>
      </c>
    </row>
    <row r="172" spans="1:9" ht="43.15">
      <c r="A172" s="74">
        <v>142</v>
      </c>
      <c r="B172" s="75" t="s">
        <v>267</v>
      </c>
      <c r="C172" s="75" t="s">
        <v>1738</v>
      </c>
      <c r="D172" s="75" t="s">
        <v>1070</v>
      </c>
      <c r="E172" s="75" t="s">
        <v>928</v>
      </c>
      <c r="F172" s="75" t="s">
        <v>1597</v>
      </c>
      <c r="G172" s="75" t="str">
        <f>+IF(ISERROR(VLOOKUP(E172,Tareas_Maestro!A:E,5,0)),"",VLOOKUP(E172,Tareas_Maestro!A:E,5,0))</f>
        <v>Realizar monitoreos de calidad regulares según cuota mensual para todos los agentes</v>
      </c>
      <c r="H172" s="77" t="s">
        <v>1270</v>
      </c>
      <c r="I172" s="75" t="s">
        <v>99</v>
      </c>
    </row>
    <row r="173" spans="1:9" ht="100.9">
      <c r="A173" s="74">
        <v>143</v>
      </c>
      <c r="B173" s="75" t="s">
        <v>267</v>
      </c>
      <c r="C173" s="75" t="s">
        <v>1739</v>
      </c>
      <c r="D173" s="75" t="s">
        <v>1071</v>
      </c>
      <c r="E173" s="75" t="s">
        <v>928</v>
      </c>
      <c r="F173" s="75" t="s">
        <v>1597</v>
      </c>
      <c r="G173" s="75" t="str">
        <f>+IF(ISERROR(VLOOKUP(E173,Tareas_Maestro!A:E,5,0)),"",VLOOKUP(E173,Tareas_Maestro!A:E,5,0))</f>
        <v>Realizar monitoreos de calidad regulares según cuota mensual para todos los agentes</v>
      </c>
      <c r="H173" s="77" t="s">
        <v>1270</v>
      </c>
      <c r="I173" s="75" t="s">
        <v>99</v>
      </c>
    </row>
    <row r="174" spans="1:9" ht="57.6">
      <c r="A174" s="74">
        <v>144</v>
      </c>
      <c r="B174" s="75" t="s">
        <v>267</v>
      </c>
      <c r="C174" s="75" t="s">
        <v>1740</v>
      </c>
      <c r="D174" s="75" t="s">
        <v>1072</v>
      </c>
      <c r="E174" s="75" t="s">
        <v>928</v>
      </c>
      <c r="F174" s="75" t="s">
        <v>1597</v>
      </c>
      <c r="G174" s="75" t="str">
        <f>+IF(ISERROR(VLOOKUP(E174,Tareas_Maestro!A:E,5,0)),"",VLOOKUP(E174,Tareas_Maestro!A:E,5,0))</f>
        <v>Realizar monitoreos de calidad regulares según cuota mensual para todos los agentes</v>
      </c>
      <c r="H174" s="77" t="s">
        <v>1270</v>
      </c>
      <c r="I174" s="75" t="s">
        <v>99</v>
      </c>
    </row>
    <row r="175" spans="1:9" ht="72">
      <c r="A175" s="1">
        <v>335</v>
      </c>
      <c r="B175" s="75" t="s">
        <v>267</v>
      </c>
      <c r="C175" s="75" t="s">
        <v>1740</v>
      </c>
      <c r="D175" s="75" t="s">
        <v>271</v>
      </c>
      <c r="E175" s="75" t="s">
        <v>1526</v>
      </c>
      <c r="F175" s="75" t="s">
        <v>1607</v>
      </c>
      <c r="G175" s="75" t="str">
        <f>+IF(ISERROR(VLOOKUP(E175,Tareas_Maestro!A:E,5,0)),"",VLOOKUP(E175,Tareas_Maestro!A:E,5,0))</f>
        <v>Asegurarse de dar feedback de las evaluaciones de calidad (monitoreos) con oportunidades de mejora y dejar los registros en el Quality form</v>
      </c>
      <c r="H175" s="77" t="s">
        <v>1270</v>
      </c>
      <c r="I175" s="75" t="s">
        <v>99</v>
      </c>
    </row>
    <row r="176" spans="1:9" ht="43.15">
      <c r="A176" s="74">
        <v>145</v>
      </c>
      <c r="B176" s="75" t="s">
        <v>267</v>
      </c>
      <c r="C176" s="75" t="s">
        <v>1741</v>
      </c>
      <c r="D176" s="75" t="s">
        <v>1073</v>
      </c>
      <c r="E176" s="75" t="s">
        <v>928</v>
      </c>
      <c r="F176" s="75" t="s">
        <v>1597</v>
      </c>
      <c r="G176" s="75" t="str">
        <f>+IF(ISERROR(VLOOKUP(E176,Tareas_Maestro!A:E,5,0)),"",VLOOKUP(E176,Tareas_Maestro!A:E,5,0))</f>
        <v>Realizar monitoreos de calidad regulares según cuota mensual para todos los agentes</v>
      </c>
      <c r="H176" s="77" t="s">
        <v>1270</v>
      </c>
      <c r="I176" s="75" t="s">
        <v>99</v>
      </c>
    </row>
    <row r="177" spans="1:9" ht="43.15">
      <c r="A177" s="74">
        <v>146</v>
      </c>
      <c r="B177" s="75" t="s">
        <v>267</v>
      </c>
      <c r="C177" s="75" t="s">
        <v>1742</v>
      </c>
      <c r="D177" s="75" t="s">
        <v>1074</v>
      </c>
      <c r="E177" s="75" t="s">
        <v>928</v>
      </c>
      <c r="F177" s="75" t="s">
        <v>1597</v>
      </c>
      <c r="G177" s="75" t="str">
        <f>+IF(ISERROR(VLOOKUP(E177,Tareas_Maestro!A:E,5,0)),"",VLOOKUP(E177,Tareas_Maestro!A:E,5,0))</f>
        <v>Realizar monitoreos de calidad regulares según cuota mensual para todos los agentes</v>
      </c>
      <c r="H177" s="77" t="s">
        <v>1270</v>
      </c>
      <c r="I177" s="75" t="s">
        <v>99</v>
      </c>
    </row>
    <row r="178" spans="1:9" ht="86.45">
      <c r="A178" s="74">
        <v>147</v>
      </c>
      <c r="B178" s="75" t="s">
        <v>274</v>
      </c>
      <c r="C178" s="75" t="s">
        <v>1743</v>
      </c>
      <c r="D178" s="75" t="s">
        <v>1076</v>
      </c>
      <c r="E178" s="75" t="s">
        <v>933</v>
      </c>
      <c r="F178" s="75" t="s">
        <v>1597</v>
      </c>
      <c r="G178" s="75" t="str">
        <f>+IF(ISERROR(VLOOKUP(E178,Tareas_Maestro!A:E,5,0)),"",VLOOKUP(E178,Tareas_Maestro!A:E,5,0))</f>
        <v>Implementar Plan de actividades de team building, motivacionales e inspiracionales y documentar evidencia</v>
      </c>
      <c r="H178" s="77" t="s">
        <v>1270</v>
      </c>
      <c r="I178" s="75" t="s">
        <v>99</v>
      </c>
    </row>
    <row r="179" spans="1:9" ht="57.6">
      <c r="A179" s="74">
        <v>148</v>
      </c>
      <c r="B179" s="75" t="s">
        <v>274</v>
      </c>
      <c r="C179" s="75" t="s">
        <v>1744</v>
      </c>
      <c r="D179" s="75" t="s">
        <v>1077</v>
      </c>
      <c r="E179" s="75" t="s">
        <v>933</v>
      </c>
      <c r="F179" s="75" t="s">
        <v>1597</v>
      </c>
      <c r="G179" s="75" t="str">
        <f>+IF(ISERROR(VLOOKUP(E179,Tareas_Maestro!A:E,5,0)),"",VLOOKUP(E179,Tareas_Maestro!A:E,5,0))</f>
        <v>Implementar Plan de actividades de team building, motivacionales e inspiracionales y documentar evidencia</v>
      </c>
      <c r="H179" s="77" t="s">
        <v>1270</v>
      </c>
      <c r="I179" s="75" t="s">
        <v>99</v>
      </c>
    </row>
    <row r="180" spans="1:9" ht="57.6">
      <c r="A180" s="74">
        <v>149</v>
      </c>
      <c r="B180" s="75" t="s">
        <v>277</v>
      </c>
      <c r="C180" s="75" t="s">
        <v>1745</v>
      </c>
      <c r="D180" s="75" t="s">
        <v>1079</v>
      </c>
      <c r="E180" s="75" t="s">
        <v>937</v>
      </c>
      <c r="F180" s="75" t="s">
        <v>1597</v>
      </c>
      <c r="G180" s="75" t="str">
        <f>+IF(ISERROR(VLOOKUP(E180,Tareas_Maestro!A:E,5,0)),"",VLOOKUP(E180,Tareas_Maestro!A:E,5,0))</f>
        <v>Implementar planes de acción para mejorar resultados de EOS</v>
      </c>
      <c r="H180" s="77" t="s">
        <v>1270</v>
      </c>
      <c r="I180" s="75" t="s">
        <v>99</v>
      </c>
    </row>
    <row r="181" spans="1:9" ht="57.6">
      <c r="A181" s="74">
        <v>150</v>
      </c>
      <c r="B181" s="75" t="s">
        <v>277</v>
      </c>
      <c r="C181" s="75" t="s">
        <v>1746</v>
      </c>
      <c r="D181" s="75" t="s">
        <v>1080</v>
      </c>
      <c r="E181" s="75" t="s">
        <v>937</v>
      </c>
      <c r="F181" s="75" t="s">
        <v>1597</v>
      </c>
      <c r="G181" s="75" t="str">
        <f>+IF(ISERROR(VLOOKUP(E181,Tareas_Maestro!A:E,5,0)),"",VLOOKUP(E181,Tareas_Maestro!A:E,5,0))</f>
        <v>Implementar planes de acción para mejorar resultados de EOS</v>
      </c>
      <c r="H181" s="77" t="s">
        <v>1270</v>
      </c>
      <c r="I181" s="75" t="s">
        <v>99</v>
      </c>
    </row>
    <row r="182" spans="1:9" ht="43.15">
      <c r="A182" s="74">
        <v>151</v>
      </c>
      <c r="B182" s="75" t="s">
        <v>277</v>
      </c>
      <c r="C182" s="75" t="s">
        <v>1747</v>
      </c>
      <c r="D182" s="75" t="s">
        <v>1081</v>
      </c>
      <c r="E182" s="75" t="s">
        <v>937</v>
      </c>
      <c r="F182" s="75" t="s">
        <v>1597</v>
      </c>
      <c r="G182" s="75" t="str">
        <f>+IF(ISERROR(VLOOKUP(E182,Tareas_Maestro!A:E,5,0)),"",VLOOKUP(E182,Tareas_Maestro!A:E,5,0))</f>
        <v>Implementar planes de acción para mejorar resultados de EOS</v>
      </c>
      <c r="H182" s="77" t="s">
        <v>1270</v>
      </c>
      <c r="I182" s="75" t="s">
        <v>99</v>
      </c>
    </row>
    <row r="183" spans="1:9" ht="57.6">
      <c r="A183" s="74">
        <v>152</v>
      </c>
      <c r="B183" s="75" t="s">
        <v>277</v>
      </c>
      <c r="C183" s="75" t="s">
        <v>1748</v>
      </c>
      <c r="D183" s="75" t="s">
        <v>1082</v>
      </c>
      <c r="E183" s="75" t="s">
        <v>937</v>
      </c>
      <c r="F183" s="75" t="s">
        <v>1597</v>
      </c>
      <c r="G183" s="75" t="str">
        <f>+IF(ISERROR(VLOOKUP(E183,Tareas_Maestro!A:E,5,0)),"",VLOOKUP(E183,Tareas_Maestro!A:E,5,0))</f>
        <v>Implementar planes de acción para mejorar resultados de EOS</v>
      </c>
      <c r="H183" s="77" t="s">
        <v>1270</v>
      </c>
      <c r="I183" s="75" t="s">
        <v>99</v>
      </c>
    </row>
    <row r="184" spans="1:9" ht="57.6">
      <c r="A184" s="74">
        <v>153</v>
      </c>
      <c r="B184" s="75" t="s">
        <v>282</v>
      </c>
      <c r="C184" s="75" t="s">
        <v>1749</v>
      </c>
      <c r="D184" s="75" t="s">
        <v>1084</v>
      </c>
      <c r="E184" s="75" t="s">
        <v>941</v>
      </c>
      <c r="F184" s="75" t="s">
        <v>1597</v>
      </c>
      <c r="G184" s="75" t="str">
        <f>+IF(ISERROR(VLOOKUP(E184,Tareas_Maestro!A:E,5,0)),"",VLOOKUP(E184,Tareas_Maestro!A:E,5,0))</f>
        <v>T01.1: Definir y comunicar proceso de "Quality Sales Lead" con Comercial y revisión con equipo de FL</v>
      </c>
      <c r="H184" s="77" t="s">
        <v>1270</v>
      </c>
      <c r="I184" s="75" t="s">
        <v>99</v>
      </c>
    </row>
    <row r="185" spans="1:9" ht="57.6">
      <c r="A185" s="74">
        <v>154</v>
      </c>
      <c r="B185" s="75" t="s">
        <v>282</v>
      </c>
      <c r="C185" s="75" t="s">
        <v>1750</v>
      </c>
      <c r="D185" s="75" t="s">
        <v>1085</v>
      </c>
      <c r="E185" s="75" t="s">
        <v>941</v>
      </c>
      <c r="F185" s="75" t="s">
        <v>1597</v>
      </c>
      <c r="G185" s="75" t="str">
        <f>+IF(ISERROR(VLOOKUP(E185,Tareas_Maestro!A:E,5,0)),"",VLOOKUP(E185,Tareas_Maestro!A:E,5,0))</f>
        <v>T01.1: Definir y comunicar proceso de "Quality Sales Lead" con Comercial y revisión con equipo de FL</v>
      </c>
      <c r="H185" s="77" t="s">
        <v>1270</v>
      </c>
      <c r="I185" s="75" t="s">
        <v>99</v>
      </c>
    </row>
    <row r="186" spans="1:9" ht="57.6">
      <c r="A186" s="74">
        <v>155</v>
      </c>
      <c r="B186" s="75" t="s">
        <v>282</v>
      </c>
      <c r="C186" s="75" t="s">
        <v>1751</v>
      </c>
      <c r="D186" s="75" t="s">
        <v>1086</v>
      </c>
      <c r="E186" s="75" t="s">
        <v>941</v>
      </c>
      <c r="F186" s="75" t="s">
        <v>1597</v>
      </c>
      <c r="G186" s="75" t="str">
        <f>+IF(ISERROR(VLOOKUP(E186,Tareas_Maestro!A:E,5,0)),"",VLOOKUP(E186,Tareas_Maestro!A:E,5,0))</f>
        <v>T01.1: Definir y comunicar proceso de "Quality Sales Lead" con Comercial y revisión con equipo de FL</v>
      </c>
      <c r="H186" s="77" t="s">
        <v>1270</v>
      </c>
      <c r="I186" s="75" t="s">
        <v>99</v>
      </c>
    </row>
    <row r="187" spans="1:9" ht="72">
      <c r="A187" s="74">
        <v>156</v>
      </c>
      <c r="B187" s="75" t="s">
        <v>286</v>
      </c>
      <c r="C187" s="75" t="s">
        <v>1752</v>
      </c>
      <c r="D187" s="75" t="s">
        <v>1088</v>
      </c>
      <c r="E187" s="75" t="s">
        <v>77</v>
      </c>
      <c r="F187" s="75" t="s">
        <v>1597</v>
      </c>
      <c r="G187" s="75" t="str">
        <f>+IF(ISERROR(VLOOKUP(E187,Tareas_Maestro!A:E,5,0)),"",VLOOKUP(E187,Tareas_Maestro!A:E,5,0))</f>
        <v>T02.1: Asegurar gestión de Remote Bookings según Global SOP</v>
      </c>
      <c r="H187" s="77" t="s">
        <v>1270</v>
      </c>
      <c r="I187" s="75" t="s">
        <v>99</v>
      </c>
    </row>
    <row r="188" spans="1:9" ht="43.15">
      <c r="A188" s="74">
        <v>157</v>
      </c>
      <c r="B188" s="75" t="s">
        <v>286</v>
      </c>
      <c r="C188" s="75" t="s">
        <v>1753</v>
      </c>
      <c r="D188" s="75" t="s">
        <v>1089</v>
      </c>
      <c r="E188" s="75" t="s">
        <v>77</v>
      </c>
      <c r="F188" s="75" t="s">
        <v>1597</v>
      </c>
      <c r="G188" s="75" t="str">
        <f>+IF(ISERROR(VLOOKUP(E188,Tareas_Maestro!A:E,5,0)),"",VLOOKUP(E188,Tareas_Maestro!A:E,5,0))</f>
        <v>T02.1: Asegurar gestión de Remote Bookings según Global SOP</v>
      </c>
      <c r="H188" s="77" t="s">
        <v>1270</v>
      </c>
      <c r="I188" s="75" t="s">
        <v>99</v>
      </c>
    </row>
    <row r="189" spans="1:9" ht="43.15">
      <c r="A189" s="74">
        <v>158</v>
      </c>
      <c r="B189" s="75" t="s">
        <v>286</v>
      </c>
      <c r="C189" s="75" t="s">
        <v>1754</v>
      </c>
      <c r="D189" s="75" t="s">
        <v>1090</v>
      </c>
      <c r="E189" s="75" t="s">
        <v>77</v>
      </c>
      <c r="F189" s="75" t="s">
        <v>1597</v>
      </c>
      <c r="G189" s="75" t="str">
        <f>+IF(ISERROR(VLOOKUP(E189,Tareas_Maestro!A:E,5,0)),"",VLOOKUP(E189,Tareas_Maestro!A:E,5,0))</f>
        <v>T02.1: Asegurar gestión de Remote Bookings según Global SOP</v>
      </c>
      <c r="H189" s="77" t="s">
        <v>1270</v>
      </c>
      <c r="I189" s="75" t="s">
        <v>99</v>
      </c>
    </row>
    <row r="190" spans="1:9" ht="43.15">
      <c r="A190" s="74">
        <v>159</v>
      </c>
      <c r="B190" s="75" t="s">
        <v>286</v>
      </c>
      <c r="C190" s="75" t="s">
        <v>1755</v>
      </c>
      <c r="D190" s="75" t="s">
        <v>1091</v>
      </c>
      <c r="E190" s="75" t="s">
        <v>77</v>
      </c>
      <c r="F190" s="75" t="s">
        <v>1597</v>
      </c>
      <c r="G190" s="75" t="str">
        <f>+IF(ISERROR(VLOOKUP(E190,Tareas_Maestro!A:E,5,0)),"",VLOOKUP(E190,Tareas_Maestro!A:E,5,0))</f>
        <v>T02.1: Asegurar gestión de Remote Bookings según Global SOP</v>
      </c>
      <c r="H190" s="77" t="s">
        <v>1270</v>
      </c>
      <c r="I190" s="75" t="s">
        <v>99</v>
      </c>
    </row>
    <row r="191" spans="1:9" ht="43.15">
      <c r="A191" s="74">
        <v>160</v>
      </c>
      <c r="B191" s="75" t="s">
        <v>286</v>
      </c>
      <c r="C191" s="75" t="s">
        <v>1756</v>
      </c>
      <c r="D191" s="75" t="s">
        <v>1092</v>
      </c>
      <c r="E191" s="75" t="s">
        <v>77</v>
      </c>
      <c r="F191" s="75" t="s">
        <v>1597</v>
      </c>
      <c r="G191" s="75" t="str">
        <f>+IF(ISERROR(VLOOKUP(E191,Tareas_Maestro!A:E,5,0)),"",VLOOKUP(E191,Tareas_Maestro!A:E,5,0))</f>
        <v>T02.1: Asegurar gestión de Remote Bookings según Global SOP</v>
      </c>
      <c r="H191" s="77" t="s">
        <v>1270</v>
      </c>
      <c r="I191" s="75" t="s">
        <v>99</v>
      </c>
    </row>
    <row r="192" spans="1:9" ht="43.15">
      <c r="A192" s="74">
        <v>161</v>
      </c>
      <c r="B192" s="75" t="s">
        <v>286</v>
      </c>
      <c r="C192" s="75" t="s">
        <v>1757</v>
      </c>
      <c r="D192" s="75" t="s">
        <v>1093</v>
      </c>
      <c r="E192" s="75" t="s">
        <v>77</v>
      </c>
      <c r="F192" s="75" t="s">
        <v>1597</v>
      </c>
      <c r="G192" s="75" t="str">
        <f>+IF(ISERROR(VLOOKUP(E192,Tareas_Maestro!A:E,5,0)),"",VLOOKUP(E192,Tareas_Maestro!A:E,5,0))</f>
        <v>T02.1: Asegurar gestión de Remote Bookings según Global SOP</v>
      </c>
      <c r="H192" s="77" t="s">
        <v>1270</v>
      </c>
      <c r="I192" s="75" t="s">
        <v>99</v>
      </c>
    </row>
    <row r="193" spans="1:9" ht="43.15">
      <c r="A193" s="74">
        <v>162</v>
      </c>
      <c r="B193" s="75" t="s">
        <v>286</v>
      </c>
      <c r="C193" s="75" t="s">
        <v>1758</v>
      </c>
      <c r="D193" s="75" t="s">
        <v>1094</v>
      </c>
      <c r="E193" s="75" t="s">
        <v>77</v>
      </c>
      <c r="F193" s="75" t="s">
        <v>1597</v>
      </c>
      <c r="G193" s="75" t="str">
        <f>+IF(ISERROR(VLOOKUP(E193,Tareas_Maestro!A:E,5,0)),"",VLOOKUP(E193,Tareas_Maestro!A:E,5,0))</f>
        <v>T02.1: Asegurar gestión de Remote Bookings según Global SOP</v>
      </c>
      <c r="H193" s="77" t="s">
        <v>1270</v>
      </c>
      <c r="I193" s="75" t="s">
        <v>99</v>
      </c>
    </row>
    <row r="194" spans="1:9" ht="43.15">
      <c r="A194" s="74">
        <v>163</v>
      </c>
      <c r="B194" s="75" t="s">
        <v>286</v>
      </c>
      <c r="C194" s="75" t="s">
        <v>1759</v>
      </c>
      <c r="D194" s="75" t="s">
        <v>1095</v>
      </c>
      <c r="E194" s="75" t="s">
        <v>77</v>
      </c>
      <c r="F194" s="75" t="s">
        <v>1597</v>
      </c>
      <c r="G194" s="75" t="str">
        <f>+IF(ISERROR(VLOOKUP(E194,Tareas_Maestro!A:E,5,0)),"",VLOOKUP(E194,Tareas_Maestro!A:E,5,0))</f>
        <v>T02.1: Asegurar gestión de Remote Bookings según Global SOP</v>
      </c>
      <c r="H194" s="77" t="s">
        <v>1270</v>
      </c>
      <c r="I194" s="75" t="s">
        <v>99</v>
      </c>
    </row>
    <row r="195" spans="1:9" ht="72">
      <c r="A195" s="74">
        <v>164</v>
      </c>
      <c r="B195" s="75" t="s">
        <v>286</v>
      </c>
      <c r="C195" s="75" t="s">
        <v>1760</v>
      </c>
      <c r="D195" s="75" t="s">
        <v>1096</v>
      </c>
      <c r="E195" s="75" t="s">
        <v>77</v>
      </c>
      <c r="F195" s="75" t="s">
        <v>1597</v>
      </c>
      <c r="G195" s="75" t="str">
        <f>+IF(ISERROR(VLOOKUP(E195,Tareas_Maestro!A:E,5,0)),"",VLOOKUP(E195,Tareas_Maestro!A:E,5,0))</f>
        <v>T02.1: Asegurar gestión de Remote Bookings según Global SOP</v>
      </c>
      <c r="H195" s="77" t="s">
        <v>1270</v>
      </c>
      <c r="I195" s="75" t="s">
        <v>99</v>
      </c>
    </row>
    <row r="196" spans="1:9" ht="72">
      <c r="A196" s="74">
        <v>165</v>
      </c>
      <c r="B196" s="75" t="s">
        <v>286</v>
      </c>
      <c r="C196" s="75" t="s">
        <v>1761</v>
      </c>
      <c r="D196" s="75" t="s">
        <v>1097</v>
      </c>
      <c r="E196" s="75" t="s">
        <v>77</v>
      </c>
      <c r="F196" s="75" t="s">
        <v>1597</v>
      </c>
      <c r="G196" s="75" t="str">
        <f>+IF(ISERROR(VLOOKUP(E196,Tareas_Maestro!A:E,5,0)),"",VLOOKUP(E196,Tareas_Maestro!A:E,5,0))</f>
        <v>T02.1: Asegurar gestión de Remote Bookings según Global SOP</v>
      </c>
      <c r="H196" s="77" t="s">
        <v>1270</v>
      </c>
      <c r="I196" s="75" t="s">
        <v>99</v>
      </c>
    </row>
    <row r="197" spans="1:9" ht="43.15">
      <c r="A197" s="74">
        <v>166</v>
      </c>
      <c r="B197" s="75" t="s">
        <v>286</v>
      </c>
      <c r="C197" s="75" t="s">
        <v>1762</v>
      </c>
      <c r="D197" s="75" t="s">
        <v>1098</v>
      </c>
      <c r="E197" s="75" t="s">
        <v>77</v>
      </c>
      <c r="F197" s="75" t="s">
        <v>1597</v>
      </c>
      <c r="G197" s="75" t="str">
        <f>+IF(ISERROR(VLOOKUP(E197,Tareas_Maestro!A:E,5,0)),"",VLOOKUP(E197,Tareas_Maestro!A:E,5,0))</f>
        <v>T02.1: Asegurar gestión de Remote Bookings según Global SOP</v>
      </c>
      <c r="H197" s="77" t="s">
        <v>1270</v>
      </c>
      <c r="I197" s="75" t="s">
        <v>99</v>
      </c>
    </row>
    <row r="198" spans="1:9" ht="43.15">
      <c r="A198" s="74">
        <v>167</v>
      </c>
      <c r="B198" s="75" t="s">
        <v>286</v>
      </c>
      <c r="C198" s="75" t="s">
        <v>1763</v>
      </c>
      <c r="D198" s="75" t="s">
        <v>1099</v>
      </c>
      <c r="E198" s="75" t="s">
        <v>77</v>
      </c>
      <c r="F198" s="75" t="s">
        <v>1597</v>
      </c>
      <c r="G198" s="75" t="str">
        <f>+IF(ISERROR(VLOOKUP(E198,Tareas_Maestro!A:E,5,0)),"",VLOOKUP(E198,Tareas_Maestro!A:E,5,0))</f>
        <v>T02.1: Asegurar gestión de Remote Bookings según Global SOP</v>
      </c>
      <c r="H198" s="77" t="s">
        <v>1270</v>
      </c>
      <c r="I198" s="75" t="s">
        <v>99</v>
      </c>
    </row>
    <row r="199" spans="1:9" ht="43.15">
      <c r="A199" s="74">
        <v>168</v>
      </c>
      <c r="B199" s="75" t="s">
        <v>286</v>
      </c>
      <c r="C199" s="75" t="s">
        <v>1764</v>
      </c>
      <c r="D199" s="75" t="s">
        <v>1100</v>
      </c>
      <c r="E199" s="75" t="s">
        <v>77</v>
      </c>
      <c r="F199" s="75" t="s">
        <v>1597</v>
      </c>
      <c r="G199" s="75" t="str">
        <f>+IF(ISERROR(VLOOKUP(E199,Tareas_Maestro!A:E,5,0)),"",VLOOKUP(E199,Tareas_Maestro!A:E,5,0))</f>
        <v>T02.1: Asegurar gestión de Remote Bookings según Global SOP</v>
      </c>
      <c r="H199" s="77" t="s">
        <v>1270</v>
      </c>
      <c r="I199" s="75" t="s">
        <v>99</v>
      </c>
    </row>
    <row r="200" spans="1:9" ht="43.15">
      <c r="A200" s="74">
        <v>169</v>
      </c>
      <c r="B200" s="75" t="s">
        <v>286</v>
      </c>
      <c r="C200" s="75" t="s">
        <v>1765</v>
      </c>
      <c r="D200" s="75" t="s">
        <v>300</v>
      </c>
      <c r="E200" s="75" t="s">
        <v>77</v>
      </c>
      <c r="F200" s="75" t="s">
        <v>1597</v>
      </c>
      <c r="G200" s="75" t="str">
        <f>+IF(ISERROR(VLOOKUP(E200,Tareas_Maestro!A:E,5,0)),"",VLOOKUP(E200,Tareas_Maestro!A:E,5,0))</f>
        <v>T02.1: Asegurar gestión de Remote Bookings según Global SOP</v>
      </c>
      <c r="H200" s="77" t="s">
        <v>1270</v>
      </c>
      <c r="I200" s="75" t="s">
        <v>99</v>
      </c>
    </row>
    <row r="201" spans="1:9" ht="43.15">
      <c r="A201" s="74">
        <v>170</v>
      </c>
      <c r="B201" s="75" t="s">
        <v>301</v>
      </c>
      <c r="C201" s="75" t="s">
        <v>1766</v>
      </c>
      <c r="D201" s="75" t="s">
        <v>1102</v>
      </c>
      <c r="E201" s="75" t="s">
        <v>947</v>
      </c>
      <c r="F201" s="75" t="s">
        <v>1597</v>
      </c>
      <c r="G201" s="75" t="str">
        <f>+IF(ISERROR(VLOOKUP(E201,Tareas_Maestro!A:E,5,0)),"",VLOOKUP(E201,Tareas_Maestro!A:E,5,0))</f>
        <v>T03.1: Asegurar uso correcto de sistema de booking y procedimientos globales</v>
      </c>
      <c r="H201" s="77" t="s">
        <v>1270</v>
      </c>
      <c r="I201" s="75" t="s">
        <v>99</v>
      </c>
    </row>
    <row r="202" spans="1:9" ht="43.15">
      <c r="A202" s="74">
        <v>171</v>
      </c>
      <c r="B202" s="75" t="s">
        <v>301</v>
      </c>
      <c r="C202" s="75" t="s">
        <v>1767</v>
      </c>
      <c r="D202" s="75" t="s">
        <v>1103</v>
      </c>
      <c r="E202" s="75" t="s">
        <v>947</v>
      </c>
      <c r="F202" s="75" t="s">
        <v>1597</v>
      </c>
      <c r="G202" s="75" t="str">
        <f>+IF(ISERROR(VLOOKUP(E202,Tareas_Maestro!A:E,5,0)),"",VLOOKUP(E202,Tareas_Maestro!A:E,5,0))</f>
        <v>T03.1: Asegurar uso correcto de sistema de booking y procedimientos globales</v>
      </c>
      <c r="H202" s="77" t="s">
        <v>1270</v>
      </c>
      <c r="I202" s="75" t="s">
        <v>99</v>
      </c>
    </row>
    <row r="203" spans="1:9" ht="43.15">
      <c r="A203" s="74">
        <v>172</v>
      </c>
      <c r="B203" s="75" t="s">
        <v>301</v>
      </c>
      <c r="C203" s="75" t="s">
        <v>1768</v>
      </c>
      <c r="D203" s="75" t="s">
        <v>1104</v>
      </c>
      <c r="E203" s="75" t="s">
        <v>947</v>
      </c>
      <c r="F203" s="75" t="s">
        <v>1597</v>
      </c>
      <c r="G203" s="75" t="str">
        <f>+IF(ISERROR(VLOOKUP(E203,Tareas_Maestro!A:E,5,0)),"",VLOOKUP(E203,Tareas_Maestro!A:E,5,0))</f>
        <v>T03.1: Asegurar uso correcto de sistema de booking y procedimientos globales</v>
      </c>
      <c r="H203" s="77" t="s">
        <v>1270</v>
      </c>
      <c r="I203" s="75" t="s">
        <v>99</v>
      </c>
    </row>
    <row r="204" spans="1:9" ht="43.15">
      <c r="A204" s="74">
        <v>173</v>
      </c>
      <c r="B204" s="75" t="s">
        <v>301</v>
      </c>
      <c r="C204" s="75" t="s">
        <v>1769</v>
      </c>
      <c r="D204" s="75" t="s">
        <v>1105</v>
      </c>
      <c r="E204" s="75" t="s">
        <v>947</v>
      </c>
      <c r="F204" s="75" t="s">
        <v>1597</v>
      </c>
      <c r="G204" s="75" t="str">
        <f>+IF(ISERROR(VLOOKUP(E204,Tareas_Maestro!A:E,5,0)),"",VLOOKUP(E204,Tareas_Maestro!A:E,5,0))</f>
        <v>T03.1: Asegurar uso correcto de sistema de booking y procedimientos globales</v>
      </c>
      <c r="H204" s="77" t="s">
        <v>1270</v>
      </c>
      <c r="I204" s="75" t="s">
        <v>99</v>
      </c>
    </row>
    <row r="205" spans="1:9" ht="43.15">
      <c r="A205" s="74">
        <v>174</v>
      </c>
      <c r="B205" s="75" t="s">
        <v>301</v>
      </c>
      <c r="C205" s="75" t="s">
        <v>1770</v>
      </c>
      <c r="D205" s="75" t="s">
        <v>1106</v>
      </c>
      <c r="E205" s="75" t="s">
        <v>947</v>
      </c>
      <c r="F205" s="75" t="s">
        <v>1597</v>
      </c>
      <c r="G205" s="75" t="str">
        <f>+IF(ISERROR(VLOOKUP(E205,Tareas_Maestro!A:E,5,0)),"",VLOOKUP(E205,Tareas_Maestro!A:E,5,0))</f>
        <v>T03.1: Asegurar uso correcto de sistema de booking y procedimientos globales</v>
      </c>
      <c r="H205" s="77" t="s">
        <v>1270</v>
      </c>
      <c r="I205" s="75" t="s">
        <v>99</v>
      </c>
    </row>
    <row r="206" spans="1:9" ht="43.15">
      <c r="A206" s="74">
        <v>175</v>
      </c>
      <c r="B206" s="75" t="s">
        <v>301</v>
      </c>
      <c r="C206" s="75" t="s">
        <v>1771</v>
      </c>
      <c r="D206" s="75" t="s">
        <v>1107</v>
      </c>
      <c r="E206" s="75" t="s">
        <v>947</v>
      </c>
      <c r="F206" s="75" t="s">
        <v>1597</v>
      </c>
      <c r="G206" s="75" t="str">
        <f>+IF(ISERROR(VLOOKUP(E206,Tareas_Maestro!A:E,5,0)),"",VLOOKUP(E206,Tareas_Maestro!A:E,5,0))</f>
        <v>T03.1: Asegurar uso correcto de sistema de booking y procedimientos globales</v>
      </c>
      <c r="H206" s="77" t="s">
        <v>1270</v>
      </c>
      <c r="I206" s="75" t="s">
        <v>99</v>
      </c>
    </row>
    <row r="207" spans="1:9" ht="43.15">
      <c r="A207" s="74">
        <v>176</v>
      </c>
      <c r="B207" s="75" t="s">
        <v>301</v>
      </c>
      <c r="C207" s="75" t="s">
        <v>1772</v>
      </c>
      <c r="D207" s="75" t="s">
        <v>1108</v>
      </c>
      <c r="E207" s="75" t="s">
        <v>947</v>
      </c>
      <c r="F207" s="75" t="s">
        <v>1597</v>
      </c>
      <c r="G207" s="75" t="str">
        <f>+IF(ISERROR(VLOOKUP(E207,Tareas_Maestro!A:E,5,0)),"",VLOOKUP(E207,Tareas_Maestro!A:E,5,0))</f>
        <v>T03.1: Asegurar uso correcto de sistema de booking y procedimientos globales</v>
      </c>
      <c r="H207" s="77" t="s">
        <v>1270</v>
      </c>
      <c r="I207" s="75" t="s">
        <v>99</v>
      </c>
    </row>
    <row r="208" spans="1:9" ht="43.15">
      <c r="A208" s="74">
        <v>177</v>
      </c>
      <c r="B208" s="75" t="s">
        <v>301</v>
      </c>
      <c r="C208" s="75" t="s">
        <v>1773</v>
      </c>
      <c r="D208" s="75" t="s">
        <v>1109</v>
      </c>
      <c r="E208" s="75" t="s">
        <v>947</v>
      </c>
      <c r="F208" s="75" t="s">
        <v>1597</v>
      </c>
      <c r="G208" s="75" t="str">
        <f>+IF(ISERROR(VLOOKUP(E208,Tareas_Maestro!A:E,5,0)),"",VLOOKUP(E208,Tareas_Maestro!A:E,5,0))</f>
        <v>T03.1: Asegurar uso correcto de sistema de booking y procedimientos globales</v>
      </c>
      <c r="H208" s="77" t="s">
        <v>1270</v>
      </c>
      <c r="I208" s="75" t="s">
        <v>99</v>
      </c>
    </row>
    <row r="209" spans="1:10" ht="43.15">
      <c r="A209" s="74">
        <v>178</v>
      </c>
      <c r="B209" s="75" t="s">
        <v>301</v>
      </c>
      <c r="C209" s="75" t="s">
        <v>1774</v>
      </c>
      <c r="D209" s="75" t="s">
        <v>1110</v>
      </c>
      <c r="E209" s="75" t="s">
        <v>947</v>
      </c>
      <c r="F209" s="75" t="s">
        <v>1597</v>
      </c>
      <c r="G209" s="75" t="str">
        <f>+IF(ISERROR(VLOOKUP(E209,Tareas_Maestro!A:E,5,0)),"",VLOOKUP(E209,Tareas_Maestro!A:E,5,0))</f>
        <v>T03.1: Asegurar uso correcto de sistema de booking y procedimientos globales</v>
      </c>
      <c r="H209" s="77" t="s">
        <v>1270</v>
      </c>
      <c r="I209" s="75" t="s">
        <v>99</v>
      </c>
    </row>
    <row r="210" spans="1:10" ht="57.6">
      <c r="A210" s="74">
        <v>179</v>
      </c>
      <c r="B210" s="75" t="s">
        <v>311</v>
      </c>
      <c r="C210" s="75" t="s">
        <v>1775</v>
      </c>
      <c r="D210" s="75" t="s">
        <v>1112</v>
      </c>
      <c r="E210" s="75" t="s">
        <v>951</v>
      </c>
      <c r="F210" s="75" t="s">
        <v>1597</v>
      </c>
      <c r="G210" s="75" t="str">
        <f>+IF(ISERROR(VLOOKUP(E210,Tareas_Maestro!A:E,5,0)),"",VLOOKUP(E210,Tareas_Maestro!A:E,5,0))</f>
        <v>T04.1: Asegurar correcta selección de estados de actividad en sistema telefónico (uso auxiliares) y revisión de reportes</v>
      </c>
      <c r="H210" s="77" t="s">
        <v>1270</v>
      </c>
      <c r="I210" s="75" t="s">
        <v>99</v>
      </c>
    </row>
    <row r="211" spans="1:10" ht="57.6">
      <c r="A211" s="74">
        <v>180</v>
      </c>
      <c r="B211" s="75" t="s">
        <v>311</v>
      </c>
      <c r="C211" s="75" t="s">
        <v>1776</v>
      </c>
      <c r="D211" s="75" t="s">
        <v>1113</v>
      </c>
      <c r="E211" s="75" t="s">
        <v>951</v>
      </c>
      <c r="F211" s="75" t="s">
        <v>1597</v>
      </c>
      <c r="G211" s="75" t="str">
        <f>+IF(ISERROR(VLOOKUP(E211,Tareas_Maestro!A:E,5,0)),"",VLOOKUP(E211,Tareas_Maestro!A:E,5,0))</f>
        <v>T04.1: Asegurar correcta selección de estados de actividad en sistema telefónico (uso auxiliares) y revisión de reportes</v>
      </c>
      <c r="H211" s="77" t="s">
        <v>1270</v>
      </c>
      <c r="I211" s="75" t="s">
        <v>99</v>
      </c>
    </row>
    <row r="212" spans="1:10" ht="57.6">
      <c r="A212" s="74">
        <v>181</v>
      </c>
      <c r="B212" s="75" t="s">
        <v>311</v>
      </c>
      <c r="C212" s="75" t="s">
        <v>1777</v>
      </c>
      <c r="D212" s="75" t="s">
        <v>1114</v>
      </c>
      <c r="E212" s="75" t="s">
        <v>951</v>
      </c>
      <c r="F212" s="75" t="s">
        <v>1597</v>
      </c>
      <c r="G212" s="75" t="str">
        <f>+IF(ISERROR(VLOOKUP(E212,Tareas_Maestro!A:E,5,0)),"",VLOOKUP(E212,Tareas_Maestro!A:E,5,0))</f>
        <v>T04.1: Asegurar correcta selección de estados de actividad en sistema telefónico (uso auxiliares) y revisión de reportes</v>
      </c>
      <c r="H212" s="77" t="s">
        <v>1270</v>
      </c>
      <c r="I212" s="75" t="s">
        <v>99</v>
      </c>
    </row>
    <row r="213" spans="1:10" ht="57.6">
      <c r="A213" s="74">
        <v>182</v>
      </c>
      <c r="B213" s="75" t="s">
        <v>315</v>
      </c>
      <c r="C213" s="75" t="s">
        <v>1778</v>
      </c>
      <c r="D213" s="75" t="s">
        <v>1116</v>
      </c>
      <c r="E213" s="75" t="s">
        <v>955</v>
      </c>
      <c r="F213" s="75" t="s">
        <v>1597</v>
      </c>
      <c r="G213" s="75" t="str">
        <f>+IF(ISERROR(VLOOKUP(E213,Tareas_Maestro!A:E,5,0)),"",VLOOKUP(E213,Tareas_Maestro!A:E,5,0))</f>
        <v>T05.1: Asegurar uso preciso de sistema de gestión de casos (GEMA/SPARK) para traces</v>
      </c>
      <c r="H213" s="77" t="s">
        <v>1270</v>
      </c>
      <c r="I213" s="75" t="s">
        <v>99</v>
      </c>
    </row>
    <row r="214" spans="1:10" ht="43.15">
      <c r="A214" s="74">
        <v>183</v>
      </c>
      <c r="B214" s="75" t="s">
        <v>315</v>
      </c>
      <c r="C214" s="75" t="s">
        <v>1779</v>
      </c>
      <c r="D214" s="75" t="s">
        <v>1117</v>
      </c>
      <c r="E214" s="75" t="s">
        <v>955</v>
      </c>
      <c r="F214" s="75" t="s">
        <v>1597</v>
      </c>
      <c r="G214" s="75" t="str">
        <f>+IF(ISERROR(VLOOKUP(E214,Tareas_Maestro!A:E,5,0)),"",VLOOKUP(E214,Tareas_Maestro!A:E,5,0))</f>
        <v>T05.1: Asegurar uso preciso de sistema de gestión de casos (GEMA/SPARK) para traces</v>
      </c>
      <c r="H214" s="77" t="s">
        <v>1270</v>
      </c>
      <c r="I214" s="75" t="s">
        <v>99</v>
      </c>
    </row>
    <row r="215" spans="1:10" ht="43.15">
      <c r="A215" s="74">
        <v>184</v>
      </c>
      <c r="B215" s="75" t="s">
        <v>315</v>
      </c>
      <c r="C215" s="75" t="s">
        <v>1780</v>
      </c>
      <c r="D215" s="75" t="s">
        <v>1118</v>
      </c>
      <c r="E215" s="75" t="s">
        <v>955</v>
      </c>
      <c r="F215" s="75" t="s">
        <v>1597</v>
      </c>
      <c r="G215" s="75" t="str">
        <f>+IF(ISERROR(VLOOKUP(E215,Tareas_Maestro!A:E,5,0)),"",VLOOKUP(E215,Tareas_Maestro!A:E,5,0))</f>
        <v>T05.1: Asegurar uso preciso de sistema de gestión de casos (GEMA/SPARK) para traces</v>
      </c>
      <c r="H215" s="77" t="s">
        <v>1270</v>
      </c>
      <c r="I215" s="75" t="s">
        <v>99</v>
      </c>
    </row>
    <row r="216" spans="1:10" ht="72">
      <c r="A216" s="74">
        <v>185</v>
      </c>
      <c r="B216" s="75" t="s">
        <v>315</v>
      </c>
      <c r="C216" s="75" t="s">
        <v>1781</v>
      </c>
      <c r="D216" s="75" t="s">
        <v>1119</v>
      </c>
      <c r="E216" s="75" t="s">
        <v>955</v>
      </c>
      <c r="F216" s="75" t="s">
        <v>1597</v>
      </c>
      <c r="G216" s="75" t="str">
        <f>+IF(ISERROR(VLOOKUP(E216,Tareas_Maestro!A:E,5,0)),"",VLOOKUP(E216,Tareas_Maestro!A:E,5,0))</f>
        <v>T05.1: Asegurar uso preciso de sistema de gestión de casos (GEMA/SPARK) para traces</v>
      </c>
      <c r="H216" s="77" t="s">
        <v>1270</v>
      </c>
      <c r="I216" s="75" t="s">
        <v>99</v>
      </c>
    </row>
    <row r="217" spans="1:10" ht="129.6">
      <c r="A217" s="74">
        <v>186</v>
      </c>
      <c r="B217" s="75" t="s">
        <v>315</v>
      </c>
      <c r="C217" s="75" t="s">
        <v>1782</v>
      </c>
      <c r="D217" s="75" t="s">
        <v>1120</v>
      </c>
      <c r="E217" s="75" t="s">
        <v>955</v>
      </c>
      <c r="F217" s="75" t="s">
        <v>1597</v>
      </c>
      <c r="G217" s="75" t="str">
        <f>+IF(ISERROR(VLOOKUP(E217,Tareas_Maestro!A:E,5,0)),"",VLOOKUP(E217,Tareas_Maestro!A:E,5,0))</f>
        <v>T05.1: Asegurar uso preciso de sistema de gestión de casos (GEMA/SPARK) para traces</v>
      </c>
      <c r="H217" s="77" t="s">
        <v>1270</v>
      </c>
      <c r="I217" s="75" t="s">
        <v>99</v>
      </c>
    </row>
    <row r="218" spans="1:10" ht="43.15">
      <c r="A218" s="74">
        <v>187</v>
      </c>
      <c r="B218" s="75" t="s">
        <v>315</v>
      </c>
      <c r="C218" s="75" t="s">
        <v>1783</v>
      </c>
      <c r="D218" s="75" t="s">
        <v>1121</v>
      </c>
      <c r="E218" s="75" t="s">
        <v>955</v>
      </c>
      <c r="F218" s="75" t="s">
        <v>1597</v>
      </c>
      <c r="G218" s="75" t="str">
        <f>+IF(ISERROR(VLOOKUP(E218,Tareas_Maestro!A:E,5,0)),"",VLOOKUP(E218,Tareas_Maestro!A:E,5,0))</f>
        <v>T05.1: Asegurar uso preciso de sistema de gestión de casos (GEMA/SPARK) para traces</v>
      </c>
      <c r="H218" s="77" t="s">
        <v>1270</v>
      </c>
      <c r="I218" s="75" t="s">
        <v>99</v>
      </c>
    </row>
    <row r="219" spans="1:10" ht="72">
      <c r="A219" s="74">
        <v>188</v>
      </c>
      <c r="B219" s="75" t="s">
        <v>322</v>
      </c>
      <c r="C219" s="75" t="s">
        <v>1784</v>
      </c>
      <c r="D219" s="75" t="s">
        <v>1123</v>
      </c>
      <c r="E219" s="75" t="s">
        <v>958</v>
      </c>
      <c r="F219" s="75" t="s">
        <v>1597</v>
      </c>
      <c r="G219" s="75" t="str">
        <f>+IF(ISERROR(VLOOKUP(E219,Tareas_Maestro!A:E,5,0)),"",VLOOKUP(E219,Tareas_Maestro!A:E,5,0))</f>
        <v>T06.1: Asegurar cumplimiento de política de tiempo esperado de contacto en sistema para seguimiento de Backline (callbacks)</v>
      </c>
      <c r="H219" s="77" t="s">
        <v>1270</v>
      </c>
      <c r="I219" s="75" t="s">
        <v>99</v>
      </c>
    </row>
    <row r="220" spans="1:10" ht="72">
      <c r="A220" s="74">
        <v>189</v>
      </c>
      <c r="B220" s="75" t="s">
        <v>322</v>
      </c>
      <c r="C220" s="75" t="s">
        <v>1785</v>
      </c>
      <c r="D220" s="75" t="s">
        <v>1124</v>
      </c>
      <c r="E220" s="75" t="s">
        <v>958</v>
      </c>
      <c r="F220" s="75" t="s">
        <v>1597</v>
      </c>
      <c r="G220" s="75" t="str">
        <f>+IF(ISERROR(VLOOKUP(E220,Tareas_Maestro!A:E,5,0)),"",VLOOKUP(E220,Tareas_Maestro!A:E,5,0))</f>
        <v>T06.1: Asegurar cumplimiento de política de tiempo esperado de contacto en sistema para seguimiento de Backline (callbacks)</v>
      </c>
      <c r="H220" s="77" t="s">
        <v>1270</v>
      </c>
      <c r="I220" s="75" t="s">
        <v>99</v>
      </c>
    </row>
    <row r="221" spans="1:10" ht="72">
      <c r="A221" s="74">
        <v>190</v>
      </c>
      <c r="B221" s="75" t="s">
        <v>322</v>
      </c>
      <c r="C221" s="75" t="s">
        <v>1786</v>
      </c>
      <c r="D221" s="75" t="s">
        <v>1125</v>
      </c>
      <c r="E221" s="75" t="s">
        <v>1555</v>
      </c>
      <c r="F221" s="75" t="s">
        <v>1597</v>
      </c>
      <c r="G221" s="75" t="str">
        <f>+IF(ISERROR(VLOOKUP(E221,Tareas_Maestro!A:E,5,0)),"",VLOOKUP(E221,Tareas_Maestro!A:E,5,0))</f>
        <v>Analizar performance callbaks, realizar feedbacks inmediatos a agentes de BL/KAD por fallas en el cumplimiento y documentar acciones</v>
      </c>
      <c r="H221" s="77" t="s">
        <v>1270</v>
      </c>
      <c r="I221" s="75" t="s">
        <v>114</v>
      </c>
      <c r="J221" s="75" t="s">
        <v>1606</v>
      </c>
    </row>
    <row r="222" spans="1:10" ht="72">
      <c r="A222" s="74">
        <v>191</v>
      </c>
      <c r="B222" s="75" t="s">
        <v>322</v>
      </c>
      <c r="C222" s="75" t="s">
        <v>1787</v>
      </c>
      <c r="D222" s="75" t="s">
        <v>1126</v>
      </c>
      <c r="E222" s="75" t="s">
        <v>1555</v>
      </c>
      <c r="F222" s="75" t="s">
        <v>1597</v>
      </c>
      <c r="G222" s="75" t="str">
        <f>+IF(ISERROR(VLOOKUP(E222,Tareas_Maestro!A:E,5,0)),"",VLOOKUP(E222,Tareas_Maestro!A:E,5,0))</f>
        <v>Analizar performance callbaks, realizar feedbacks inmediatos a agentes de BL/KAD por fallas en el cumplimiento y documentar acciones</v>
      </c>
      <c r="H222" s="77" t="s">
        <v>1270</v>
      </c>
      <c r="I222" s="75" t="s">
        <v>114</v>
      </c>
      <c r="J222" s="75" t="s">
        <v>1606</v>
      </c>
    </row>
    <row r="223" spans="1:10" ht="72">
      <c r="A223" s="74">
        <v>192</v>
      </c>
      <c r="B223" s="75" t="s">
        <v>322</v>
      </c>
      <c r="C223" s="75" t="s">
        <v>1788</v>
      </c>
      <c r="D223" s="75" t="s">
        <v>1127</v>
      </c>
      <c r="E223" s="75" t="s">
        <v>958</v>
      </c>
      <c r="F223" s="75" t="s">
        <v>1597</v>
      </c>
      <c r="G223" s="75" t="str">
        <f>+IF(ISERROR(VLOOKUP(E223,Tareas_Maestro!A:E,5,0)),"",VLOOKUP(E223,Tareas_Maestro!A:E,5,0))</f>
        <v>T06.1: Asegurar cumplimiento de política de tiempo esperado de contacto en sistema para seguimiento de Backline (callbacks)</v>
      </c>
      <c r="H223" s="77" t="s">
        <v>1270</v>
      </c>
      <c r="I223" s="75" t="s">
        <v>99</v>
      </c>
    </row>
    <row r="224" spans="1:10" ht="72">
      <c r="A224" s="1">
        <v>336</v>
      </c>
      <c r="B224" s="75" t="s">
        <v>322</v>
      </c>
      <c r="C224" s="75" t="s">
        <v>1788</v>
      </c>
      <c r="D224" s="75" t="s">
        <v>327</v>
      </c>
      <c r="E224" s="75" t="s">
        <v>1555</v>
      </c>
      <c r="F224" s="75" t="s">
        <v>1607</v>
      </c>
      <c r="G224" s="75" t="str">
        <f>+IF(ISERROR(VLOOKUP(E224,Tareas_Maestro!A:E,5,0)),"",VLOOKUP(E224,Tareas_Maestro!A:E,5,0))</f>
        <v>Analizar performance callbaks, realizar feedbacks inmediatos a agentes de BL/KAD por fallas en el cumplimiento y documentar acciones</v>
      </c>
      <c r="H224" s="77" t="s">
        <v>1270</v>
      </c>
      <c r="I224" s="75" t="s">
        <v>114</v>
      </c>
      <c r="J224" s="75" t="s">
        <v>1606</v>
      </c>
    </row>
    <row r="225" spans="1:9" ht="43.15">
      <c r="A225" s="74">
        <v>193</v>
      </c>
      <c r="B225" s="75" t="s">
        <v>328</v>
      </c>
      <c r="C225" s="75" t="s">
        <v>1789</v>
      </c>
      <c r="D225" s="75" t="s">
        <v>1129</v>
      </c>
      <c r="E225" s="75" t="s">
        <v>963</v>
      </c>
      <c r="F225" s="75" t="s">
        <v>1597</v>
      </c>
      <c r="G225" s="75" t="str">
        <f>+IF(ISERROR(VLOOKUP(E225,Tareas_Maestro!A:E,5,0)),"",VLOOKUP(E225,Tareas_Maestro!A:E,5,0))</f>
        <v>T07.1: Asegurar uso preciso de sistema de gestión de casos para Claims</v>
      </c>
      <c r="H225" s="77" t="s">
        <v>1270</v>
      </c>
      <c r="I225" s="75" t="s">
        <v>99</v>
      </c>
    </row>
    <row r="226" spans="1:9" ht="43.15">
      <c r="A226" s="74">
        <v>194</v>
      </c>
      <c r="B226" s="75" t="s">
        <v>328</v>
      </c>
      <c r="C226" s="75" t="s">
        <v>1790</v>
      </c>
      <c r="D226" s="75" t="s">
        <v>1130</v>
      </c>
      <c r="E226" s="75" t="s">
        <v>963</v>
      </c>
      <c r="F226" s="75" t="s">
        <v>1597</v>
      </c>
      <c r="G226" s="75" t="str">
        <f>+IF(ISERROR(VLOOKUP(E226,Tareas_Maestro!A:E,5,0)),"",VLOOKUP(E226,Tareas_Maestro!A:E,5,0))</f>
        <v>T07.1: Asegurar uso preciso de sistema de gestión de casos para Claims</v>
      </c>
      <c r="H226" s="77" t="s">
        <v>1270</v>
      </c>
      <c r="I226" s="75" t="s">
        <v>99</v>
      </c>
    </row>
    <row r="227" spans="1:9" ht="43.15">
      <c r="A227" s="74">
        <v>195</v>
      </c>
      <c r="B227" s="75" t="s">
        <v>328</v>
      </c>
      <c r="C227" s="75" t="s">
        <v>1791</v>
      </c>
      <c r="D227" s="75" t="s">
        <v>1131</v>
      </c>
      <c r="E227" s="75" t="s">
        <v>963</v>
      </c>
      <c r="F227" s="75" t="s">
        <v>1597</v>
      </c>
      <c r="G227" s="75" t="str">
        <f>+IF(ISERROR(VLOOKUP(E227,Tareas_Maestro!A:E,5,0)),"",VLOOKUP(E227,Tareas_Maestro!A:E,5,0))</f>
        <v>T07.1: Asegurar uso preciso de sistema de gestión de casos para Claims</v>
      </c>
      <c r="H227" s="77" t="s">
        <v>1270</v>
      </c>
      <c r="I227" s="75" t="s">
        <v>99</v>
      </c>
    </row>
    <row r="228" spans="1:9" ht="43.15">
      <c r="A228" s="74">
        <v>196</v>
      </c>
      <c r="B228" s="75" t="s">
        <v>328</v>
      </c>
      <c r="C228" s="75" t="s">
        <v>1792</v>
      </c>
      <c r="D228" s="75" t="s">
        <v>1132</v>
      </c>
      <c r="E228" s="75" t="s">
        <v>963</v>
      </c>
      <c r="F228" s="75" t="s">
        <v>1597</v>
      </c>
      <c r="G228" s="75" t="str">
        <f>+IF(ISERROR(VLOOKUP(E228,Tareas_Maestro!A:E,5,0)),"",VLOOKUP(E228,Tareas_Maestro!A:E,5,0))</f>
        <v>T07.1: Asegurar uso preciso de sistema de gestión de casos para Claims</v>
      </c>
      <c r="H228" s="77" t="s">
        <v>1270</v>
      </c>
      <c r="I228" s="75" t="s">
        <v>99</v>
      </c>
    </row>
    <row r="229" spans="1:9" ht="43.15">
      <c r="A229" s="74">
        <v>197</v>
      </c>
      <c r="B229" s="75" t="s">
        <v>328</v>
      </c>
      <c r="C229" s="75" t="s">
        <v>1793</v>
      </c>
      <c r="D229" s="75" t="s">
        <v>1133</v>
      </c>
      <c r="E229" s="75" t="s">
        <v>963</v>
      </c>
      <c r="F229" s="75" t="s">
        <v>1597</v>
      </c>
      <c r="G229" s="75" t="str">
        <f>+IF(ISERROR(VLOOKUP(E229,Tareas_Maestro!A:E,5,0)),"",VLOOKUP(E229,Tareas_Maestro!A:E,5,0))</f>
        <v>T07.1: Asegurar uso preciso de sistema de gestión de casos para Claims</v>
      </c>
      <c r="H229" s="77" t="s">
        <v>1270</v>
      </c>
      <c r="I229" s="75" t="s">
        <v>99</v>
      </c>
    </row>
    <row r="230" spans="1:9" ht="57.6">
      <c r="A230" s="74">
        <v>198</v>
      </c>
      <c r="B230" s="75" t="s">
        <v>334</v>
      </c>
      <c r="C230" s="75" t="s">
        <v>1794</v>
      </c>
      <c r="D230" s="75" t="s">
        <v>1135</v>
      </c>
      <c r="E230" s="75" t="s">
        <v>966</v>
      </c>
      <c r="F230" s="75" t="s">
        <v>1597</v>
      </c>
      <c r="G230" s="75" t="str">
        <f>+IF(ISERROR(VLOOKUP(E230,Tareas_Maestro!A:E,5,0)),"",VLOOKUP(E230,Tareas_Maestro!A:E,5,0))</f>
        <v>T08.1: Asegurar uso preciso de sistema para Complaints y Guía de Recuperación de Servicio</v>
      </c>
      <c r="H230" s="77" t="s">
        <v>1270</v>
      </c>
      <c r="I230" s="75" t="s">
        <v>99</v>
      </c>
    </row>
    <row r="231" spans="1:9" ht="43.15">
      <c r="A231" s="74">
        <v>199</v>
      </c>
      <c r="B231" s="75" t="s">
        <v>334</v>
      </c>
      <c r="C231" s="75" t="s">
        <v>1795</v>
      </c>
      <c r="D231" s="75" t="s">
        <v>1130</v>
      </c>
      <c r="E231" s="75" t="s">
        <v>966</v>
      </c>
      <c r="F231" s="75" t="s">
        <v>1597</v>
      </c>
      <c r="G231" s="75" t="str">
        <f>+IF(ISERROR(VLOOKUP(E231,Tareas_Maestro!A:E,5,0)),"",VLOOKUP(E231,Tareas_Maestro!A:E,5,0))</f>
        <v>T08.1: Asegurar uso preciso de sistema para Complaints y Guía de Recuperación de Servicio</v>
      </c>
      <c r="H231" s="77" t="s">
        <v>1270</v>
      </c>
      <c r="I231" s="75" t="s">
        <v>99</v>
      </c>
    </row>
    <row r="232" spans="1:9" ht="43.15">
      <c r="A232" s="74">
        <v>200</v>
      </c>
      <c r="B232" s="75" t="s">
        <v>334</v>
      </c>
      <c r="C232" s="75" t="s">
        <v>1796</v>
      </c>
      <c r="D232" s="75" t="s">
        <v>1136</v>
      </c>
      <c r="E232" s="75" t="s">
        <v>966</v>
      </c>
      <c r="F232" s="75" t="s">
        <v>1597</v>
      </c>
      <c r="G232" s="75" t="str">
        <f>+IF(ISERROR(VLOOKUP(E232,Tareas_Maestro!A:E,5,0)),"",VLOOKUP(E232,Tareas_Maestro!A:E,5,0))</f>
        <v>T08.1: Asegurar uso preciso de sistema para Complaints y Guía de Recuperación de Servicio</v>
      </c>
      <c r="H232" s="77" t="s">
        <v>1270</v>
      </c>
      <c r="I232" s="75" t="s">
        <v>99</v>
      </c>
    </row>
    <row r="233" spans="1:9" ht="43.15">
      <c r="A233" s="74">
        <v>201</v>
      </c>
      <c r="B233" s="75" t="s">
        <v>334</v>
      </c>
      <c r="C233" s="75" t="s">
        <v>1797</v>
      </c>
      <c r="D233" s="75" t="s">
        <v>1132</v>
      </c>
      <c r="E233" s="75" t="s">
        <v>966</v>
      </c>
      <c r="F233" s="75" t="s">
        <v>1597</v>
      </c>
      <c r="G233" s="75" t="str">
        <f>+IF(ISERROR(VLOOKUP(E233,Tareas_Maestro!A:E,5,0)),"",VLOOKUP(E233,Tareas_Maestro!A:E,5,0))</f>
        <v>T08.1: Asegurar uso preciso de sistema para Complaints y Guía de Recuperación de Servicio</v>
      </c>
      <c r="H233" s="77" t="s">
        <v>1270</v>
      </c>
      <c r="I233" s="75" t="s">
        <v>99</v>
      </c>
    </row>
    <row r="234" spans="1:9" ht="43.15">
      <c r="A234" s="74">
        <v>202</v>
      </c>
      <c r="B234" s="75" t="s">
        <v>334</v>
      </c>
      <c r="C234" s="75" t="s">
        <v>1798</v>
      </c>
      <c r="D234" s="75" t="s">
        <v>1137</v>
      </c>
      <c r="E234" s="75" t="s">
        <v>966</v>
      </c>
      <c r="F234" s="75" t="s">
        <v>1597</v>
      </c>
      <c r="G234" s="75" t="str">
        <f>+IF(ISERROR(VLOOKUP(E234,Tareas_Maestro!A:E,5,0)),"",VLOOKUP(E234,Tareas_Maestro!A:E,5,0))</f>
        <v>T08.1: Asegurar uso preciso de sistema para Complaints y Guía de Recuperación de Servicio</v>
      </c>
      <c r="H234" s="77" t="s">
        <v>1270</v>
      </c>
      <c r="I234" s="75" t="s">
        <v>99</v>
      </c>
    </row>
    <row r="235" spans="1:9" ht="57.6">
      <c r="A235" s="74">
        <v>203</v>
      </c>
      <c r="B235" s="75" t="s">
        <v>338</v>
      </c>
      <c r="C235" s="75" t="s">
        <v>1799</v>
      </c>
      <c r="D235" s="75" t="s">
        <v>1139</v>
      </c>
      <c r="E235" s="75" t="s">
        <v>969</v>
      </c>
      <c r="F235" s="75" t="s">
        <v>1597</v>
      </c>
      <c r="G235" s="75" t="str">
        <f>+IF(ISERROR(VLOOKUP(E235,Tareas_Maestro!A:E,5,0)),"",VLOOKUP(E235,Tareas_Maestro!A:E,5,0))</f>
        <v>T09.1: Documentar y comunicar niveles de empoderamiento para resolución</v>
      </c>
      <c r="H235" s="77" t="s">
        <v>1270</v>
      </c>
      <c r="I235" s="75" t="s">
        <v>99</v>
      </c>
    </row>
    <row r="236" spans="1:9" ht="43.15">
      <c r="A236" s="74">
        <v>204</v>
      </c>
      <c r="B236" s="75" t="s">
        <v>338</v>
      </c>
      <c r="C236" s="75" t="s">
        <v>1800</v>
      </c>
      <c r="D236" s="75" t="s">
        <v>1140</v>
      </c>
      <c r="E236" s="75" t="s">
        <v>969</v>
      </c>
      <c r="F236" s="75" t="s">
        <v>1597</v>
      </c>
      <c r="G236" s="75" t="str">
        <f>+IF(ISERROR(VLOOKUP(E236,Tareas_Maestro!A:E,5,0)),"",VLOOKUP(E236,Tareas_Maestro!A:E,5,0))</f>
        <v>T09.1: Documentar y comunicar niveles de empoderamiento para resolución</v>
      </c>
      <c r="H236" s="77" t="s">
        <v>1270</v>
      </c>
      <c r="I236" s="75" t="s">
        <v>99</v>
      </c>
    </row>
    <row r="237" spans="1:9" ht="57.6">
      <c r="A237" s="1">
        <v>337</v>
      </c>
      <c r="B237" s="75" t="s">
        <v>338</v>
      </c>
      <c r="C237" s="75" t="s">
        <v>1800</v>
      </c>
      <c r="D237" s="75" t="s">
        <v>340</v>
      </c>
      <c r="E237" s="75" t="s">
        <v>1561</v>
      </c>
      <c r="F237" s="75" t="s">
        <v>1607</v>
      </c>
      <c r="G237" s="75" t="str">
        <f>+IF(ISERROR(VLOOKUP(E237,Tareas_Maestro!A:E,5,0)),"",VLOOKUP(E237,Tareas_Maestro!A:E,5,0))</f>
        <v>Asegurar entendimiento y aplicación de la matriz de empoderamiento por equipo FL/BL/KAD</v>
      </c>
      <c r="H237" s="77" t="s">
        <v>1270</v>
      </c>
      <c r="I237" s="75" t="s">
        <v>99</v>
      </c>
    </row>
    <row r="238" spans="1:9" ht="57.6">
      <c r="A238" s="74">
        <v>205</v>
      </c>
      <c r="B238" s="75" t="s">
        <v>338</v>
      </c>
      <c r="C238" s="75" t="s">
        <v>1801</v>
      </c>
      <c r="D238" s="75" t="s">
        <v>1141</v>
      </c>
      <c r="E238" s="75" t="s">
        <v>969</v>
      </c>
      <c r="F238" s="75" t="s">
        <v>1597</v>
      </c>
      <c r="G238" s="75" t="str">
        <f>+IF(ISERROR(VLOOKUP(E238,Tareas_Maestro!A:E,5,0)),"",VLOOKUP(E238,Tareas_Maestro!A:E,5,0))</f>
        <v>T09.1: Documentar y comunicar niveles de empoderamiento para resolución</v>
      </c>
      <c r="H238" s="77" t="s">
        <v>1270</v>
      </c>
      <c r="I238" s="75" t="s">
        <v>99</v>
      </c>
    </row>
    <row r="239" spans="1:9" ht="57.6">
      <c r="A239" s="74">
        <v>206</v>
      </c>
      <c r="B239" s="75" t="s">
        <v>338</v>
      </c>
      <c r="C239" s="75" t="s">
        <v>1802</v>
      </c>
      <c r="D239" s="75" t="s">
        <v>1142</v>
      </c>
      <c r="E239" s="75" t="s">
        <v>969</v>
      </c>
      <c r="F239" s="75" t="s">
        <v>1597</v>
      </c>
      <c r="G239" s="75" t="str">
        <f>+IF(ISERROR(VLOOKUP(E239,Tareas_Maestro!A:E,5,0)),"",VLOOKUP(E239,Tareas_Maestro!A:E,5,0))</f>
        <v>T09.1: Documentar y comunicar niveles de empoderamiento para resolución</v>
      </c>
      <c r="H239" s="77" t="s">
        <v>1270</v>
      </c>
      <c r="I239" s="75" t="s">
        <v>99</v>
      </c>
    </row>
    <row r="240" spans="1:9" ht="57.6">
      <c r="A240" s="74">
        <v>207</v>
      </c>
      <c r="B240" s="75" t="s">
        <v>338</v>
      </c>
      <c r="C240" s="75" t="s">
        <v>1803</v>
      </c>
      <c r="D240" s="75" t="s">
        <v>1143</v>
      </c>
      <c r="E240" s="75" t="s">
        <v>1561</v>
      </c>
      <c r="F240" s="75" t="s">
        <v>1597</v>
      </c>
      <c r="G240" s="75" t="str">
        <f>+IF(ISERROR(VLOOKUP(E240,Tareas_Maestro!A:E,5,0)),"",VLOOKUP(E240,Tareas_Maestro!A:E,5,0))</f>
        <v>Asegurar entendimiento y aplicación de la matriz de empoderamiento por equipo FL/BL/KAD</v>
      </c>
      <c r="H240" s="77" t="s">
        <v>1270</v>
      </c>
      <c r="I240" s="75" t="s">
        <v>99</v>
      </c>
    </row>
    <row r="241" spans="1:9" ht="72">
      <c r="A241" s="74">
        <v>208</v>
      </c>
      <c r="B241" s="75" t="s">
        <v>344</v>
      </c>
      <c r="C241" s="75" t="s">
        <v>1804</v>
      </c>
      <c r="D241" s="75" t="s">
        <v>1145</v>
      </c>
      <c r="E241" s="75" t="s">
        <v>974</v>
      </c>
      <c r="F241" s="75" t="s">
        <v>1597</v>
      </c>
      <c r="G241" s="75" t="str">
        <f>+IF(ISERROR(VLOOKUP(E241,Tareas_Maestro!A:E,5,0)),"",VLOOKUP(E241,Tareas_Maestro!A:E,5,0))</f>
        <v>T10.1: Asegurar carga de plantillas/cartas estándar en sistema de gestión de casos (Gema/Spark)</v>
      </c>
      <c r="H241" s="77" t="s">
        <v>1270</v>
      </c>
      <c r="I241" s="75" t="s">
        <v>99</v>
      </c>
    </row>
    <row r="242" spans="1:9" ht="72">
      <c r="A242" s="74">
        <v>209</v>
      </c>
      <c r="B242" s="75" t="s">
        <v>344</v>
      </c>
      <c r="C242" s="75" t="s">
        <v>1805</v>
      </c>
      <c r="D242" s="75" t="s">
        <v>1146</v>
      </c>
      <c r="E242" s="75" t="s">
        <v>974</v>
      </c>
      <c r="F242" s="75" t="s">
        <v>1597</v>
      </c>
      <c r="G242" s="75" t="str">
        <f>+IF(ISERROR(VLOOKUP(E242,Tareas_Maestro!A:E,5,0)),"",VLOOKUP(E242,Tareas_Maestro!A:E,5,0))</f>
        <v>T10.1: Asegurar carga de plantillas/cartas estándar en sistema de gestión de casos (Gema/Spark)</v>
      </c>
      <c r="H242" s="77" t="s">
        <v>1270</v>
      </c>
      <c r="I242" s="75" t="s">
        <v>99</v>
      </c>
    </row>
    <row r="243" spans="1:9" ht="72">
      <c r="A243" s="1">
        <v>338</v>
      </c>
      <c r="B243" s="75" t="s">
        <v>344</v>
      </c>
      <c r="C243" s="75" t="s">
        <v>1805</v>
      </c>
      <c r="D243" s="75" t="s">
        <v>346</v>
      </c>
      <c r="E243" s="75" t="s">
        <v>1565</v>
      </c>
      <c r="F243" s="75" t="s">
        <v>1607</v>
      </c>
      <c r="G243" s="75" t="str">
        <f>+IF(ISERROR(VLOOKUP(E243,Tareas_Maestro!A:E,5,0)),"",VLOOKUP(E243,Tareas_Maestro!A:E,5,0))</f>
        <v>Registrar cartas estándar en Gema/Spark aprobadas por los departamentos correspondientes (Marketing-Legales).</v>
      </c>
      <c r="H243" s="77" t="s">
        <v>1270</v>
      </c>
      <c r="I243" s="75" t="s">
        <v>99</v>
      </c>
    </row>
    <row r="244" spans="1:9" ht="57.6">
      <c r="A244" s="74">
        <v>210</v>
      </c>
      <c r="B244" s="75" t="s">
        <v>344</v>
      </c>
      <c r="C244" s="75" t="s">
        <v>1806</v>
      </c>
      <c r="D244" s="75" t="s">
        <v>1147</v>
      </c>
      <c r="E244" s="75" t="s">
        <v>974</v>
      </c>
      <c r="F244" s="75" t="s">
        <v>1597</v>
      </c>
      <c r="G244" s="75" t="str">
        <f>+IF(ISERROR(VLOOKUP(E244,Tareas_Maestro!A:E,5,0)),"",VLOOKUP(E244,Tareas_Maestro!A:E,5,0))</f>
        <v>T10.1: Asegurar carga de plantillas/cartas estándar en sistema de gestión de casos (Gema/Spark)</v>
      </c>
      <c r="H244" s="77" t="s">
        <v>1270</v>
      </c>
      <c r="I244" s="75" t="s">
        <v>99</v>
      </c>
    </row>
    <row r="245" spans="1:9" ht="57.6">
      <c r="A245" s="1">
        <v>339</v>
      </c>
      <c r="B245" s="75" t="s">
        <v>344</v>
      </c>
      <c r="C245" s="75" t="s">
        <v>1806</v>
      </c>
      <c r="D245" s="75" t="s">
        <v>347</v>
      </c>
      <c r="E245" s="75" t="s">
        <v>1566</v>
      </c>
      <c r="F245" s="75" t="s">
        <v>1607</v>
      </c>
      <c r="G245" s="75" t="str">
        <f>+IF(ISERROR(VLOOKUP(E245,Tareas_Maestro!A:E,5,0)),"",VLOOKUP(E245,Tareas_Maestro!A:E,5,0))</f>
        <v>Monitorear uso correcto de cartas estándar en Gema/Spark</v>
      </c>
      <c r="H245" s="77" t="s">
        <v>1270</v>
      </c>
      <c r="I245" s="75" t="s">
        <v>99</v>
      </c>
    </row>
    <row r="246" spans="1:9" ht="72">
      <c r="A246" s="74">
        <v>211</v>
      </c>
      <c r="B246" s="75" t="s">
        <v>348</v>
      </c>
      <c r="C246" s="75" t="s">
        <v>1807</v>
      </c>
      <c r="D246" s="75" t="s">
        <v>1149</v>
      </c>
      <c r="E246" s="75" t="s">
        <v>978</v>
      </c>
      <c r="F246" s="75" t="s">
        <v>1597</v>
      </c>
      <c r="G246" s="75" t="str">
        <f>+IF(ISERROR(VLOOKUP(E246,Tareas_Maestro!A:E,5,0)),"",VLOOKUP(E246,Tareas_Maestro!A:E,5,0))</f>
        <v>T11.1: Asegurar uso de proceso de aprobación GEMA/SPARK para pagos de compensación</v>
      </c>
      <c r="H246" s="77" t="s">
        <v>1270</v>
      </c>
      <c r="I246" s="75" t="s">
        <v>99</v>
      </c>
    </row>
    <row r="247" spans="1:9" ht="57.6">
      <c r="A247" s="74">
        <v>212</v>
      </c>
      <c r="B247" s="75" t="s">
        <v>348</v>
      </c>
      <c r="C247" s="75" t="s">
        <v>1808</v>
      </c>
      <c r="D247" s="75" t="s">
        <v>1150</v>
      </c>
      <c r="E247" s="75" t="s">
        <v>978</v>
      </c>
      <c r="F247" s="75" t="s">
        <v>1597</v>
      </c>
      <c r="G247" s="75" t="str">
        <f>+IF(ISERROR(VLOOKUP(E247,Tareas_Maestro!A:E,5,0)),"",VLOOKUP(E247,Tareas_Maestro!A:E,5,0))</f>
        <v>T11.1: Asegurar uso de proceso de aprobación GEMA/SPARK para pagos de compensación</v>
      </c>
      <c r="H247" s="77" t="s">
        <v>1270</v>
      </c>
      <c r="I247" s="75" t="s">
        <v>99</v>
      </c>
    </row>
    <row r="248" spans="1:9" ht="86.45">
      <c r="A248" s="74">
        <v>213</v>
      </c>
      <c r="B248" s="75" t="s">
        <v>348</v>
      </c>
      <c r="C248" s="75" t="s">
        <v>1809</v>
      </c>
      <c r="D248" s="75" t="s">
        <v>1151</v>
      </c>
      <c r="E248" s="75" t="s">
        <v>978</v>
      </c>
      <c r="F248" s="75" t="s">
        <v>1597</v>
      </c>
      <c r="G248" s="75" t="str">
        <f>+IF(ISERROR(VLOOKUP(E248,Tareas_Maestro!A:E,5,0)),"",VLOOKUP(E248,Tareas_Maestro!A:E,5,0))</f>
        <v>T11.1: Asegurar uso de proceso de aprobación GEMA/SPARK para pagos de compensación</v>
      </c>
      <c r="H248" s="77" t="s">
        <v>1270</v>
      </c>
      <c r="I248" s="75" t="s">
        <v>99</v>
      </c>
    </row>
    <row r="249" spans="1:9" ht="86.45">
      <c r="A249" s="74">
        <v>214</v>
      </c>
      <c r="B249" s="75" t="s">
        <v>352</v>
      </c>
      <c r="C249" s="75" t="s">
        <v>1810</v>
      </c>
      <c r="D249" s="75" t="s">
        <v>1153</v>
      </c>
      <c r="E249" s="75" t="s">
        <v>982</v>
      </c>
      <c r="F249" s="75" t="s">
        <v>1597</v>
      </c>
      <c r="G249" s="75" t="str">
        <f>+IF(ISERROR(VLOOKUP(E249,Tareas_Maestro!A:E,5,0)),"",VLOOKUP(E249,Tareas_Maestro!A:E,5,0))</f>
        <v>T12.1: Asegurar utilización de Herramienta de Reporteo de Cuentas Clave (KART) de acuerdo con Nomination forms. Se aconseja control cruzado entre KADs</v>
      </c>
      <c r="H249" s="77" t="s">
        <v>1270</v>
      </c>
      <c r="I249" s="75" t="s">
        <v>99</v>
      </c>
    </row>
    <row r="250" spans="1:9" ht="129.6">
      <c r="A250" s="74">
        <v>215</v>
      </c>
      <c r="B250" s="75" t="s">
        <v>352</v>
      </c>
      <c r="C250" s="75" t="s">
        <v>1811</v>
      </c>
      <c r="D250" s="75" t="s">
        <v>1154</v>
      </c>
      <c r="E250" s="75" t="s">
        <v>982</v>
      </c>
      <c r="F250" s="75" t="s">
        <v>1597</v>
      </c>
      <c r="G250" s="75" t="str">
        <f>+IF(ISERROR(VLOOKUP(E250,Tareas_Maestro!A:E,5,0)),"",VLOOKUP(E250,Tareas_Maestro!A:E,5,0))</f>
        <v>T12.1: Asegurar utilización de Herramienta de Reporteo de Cuentas Clave (KART) de acuerdo con Nomination forms. Se aconseja control cruzado entre KADs</v>
      </c>
      <c r="H250" s="77" t="s">
        <v>1270</v>
      </c>
      <c r="I250" s="75" t="s">
        <v>99</v>
      </c>
    </row>
    <row r="251" spans="1:9" ht="86.45">
      <c r="A251" s="74">
        <v>216</v>
      </c>
      <c r="B251" s="75" t="s">
        <v>352</v>
      </c>
      <c r="C251" s="75" t="s">
        <v>1812</v>
      </c>
      <c r="D251" s="75" t="s">
        <v>1155</v>
      </c>
      <c r="E251" s="75" t="s">
        <v>982</v>
      </c>
      <c r="F251" s="75" t="s">
        <v>1597</v>
      </c>
      <c r="G251" s="75" t="str">
        <f>+IF(ISERROR(VLOOKUP(E251,Tareas_Maestro!A:E,5,0)),"",VLOOKUP(E251,Tareas_Maestro!A:E,5,0))</f>
        <v>T12.1: Asegurar utilización de Herramienta de Reporteo de Cuentas Clave (KART) de acuerdo con Nomination forms. Se aconseja control cruzado entre KADs</v>
      </c>
      <c r="H251" s="77" t="s">
        <v>1270</v>
      </c>
      <c r="I251" s="75" t="s">
        <v>99</v>
      </c>
    </row>
    <row r="252" spans="1:9" ht="86.45">
      <c r="A252" s="74">
        <v>217</v>
      </c>
      <c r="B252" s="75" t="s">
        <v>352</v>
      </c>
      <c r="C252" s="75" t="s">
        <v>1813</v>
      </c>
      <c r="D252" s="75" t="s">
        <v>1156</v>
      </c>
      <c r="E252" s="75" t="s">
        <v>982</v>
      </c>
      <c r="F252" s="75" t="s">
        <v>1597</v>
      </c>
      <c r="G252" s="75" t="str">
        <f>+IF(ISERROR(VLOOKUP(E252,Tareas_Maestro!A:E,5,0)),"",VLOOKUP(E252,Tareas_Maestro!A:E,5,0))</f>
        <v>T12.1: Asegurar utilización de Herramienta de Reporteo de Cuentas Clave (KART) de acuerdo con Nomination forms. Se aconseja control cruzado entre KADs</v>
      </c>
      <c r="H252" s="77" t="s">
        <v>1270</v>
      </c>
      <c r="I252" s="75" t="s">
        <v>99</v>
      </c>
    </row>
    <row r="253" spans="1:9" ht="57.6">
      <c r="A253" s="74">
        <v>218</v>
      </c>
      <c r="B253" s="75" t="s">
        <v>357</v>
      </c>
      <c r="C253" s="75" t="s">
        <v>1814</v>
      </c>
      <c r="D253" s="75" t="s">
        <v>1158</v>
      </c>
      <c r="E253" s="75" t="s">
        <v>987</v>
      </c>
      <c r="F253" s="75" t="s">
        <v>1597</v>
      </c>
      <c r="G253" s="75" t="str">
        <f>+IF(ISERROR(VLOOKUP(E253,Tareas_Maestro!A:E,5,0)),"",VLOOKUP(E253,Tareas_Maestro!A:E,5,0))</f>
        <v>T13.1: Asegurar implementación y cobertura de casos de uso del Asistente Virtual Global (GVA)</v>
      </c>
      <c r="H253" s="77" t="s">
        <v>1270</v>
      </c>
      <c r="I253" s="75" t="s">
        <v>99</v>
      </c>
    </row>
    <row r="254" spans="1:9" ht="86.45">
      <c r="A254" s="74">
        <v>219</v>
      </c>
      <c r="B254" s="75" t="s">
        <v>357</v>
      </c>
      <c r="C254" s="75" t="s">
        <v>1815</v>
      </c>
      <c r="D254" s="75" t="s">
        <v>1159</v>
      </c>
      <c r="E254" s="75" t="s">
        <v>987</v>
      </c>
      <c r="F254" s="75" t="s">
        <v>1597</v>
      </c>
      <c r="G254" s="75" t="str">
        <f>+IF(ISERROR(VLOOKUP(E254,Tareas_Maestro!A:E,5,0)),"",VLOOKUP(E254,Tareas_Maestro!A:E,5,0))</f>
        <v>T13.1: Asegurar implementación y cobertura de casos de uso del Asistente Virtual Global (GVA)</v>
      </c>
      <c r="H254" s="77" t="s">
        <v>1270</v>
      </c>
      <c r="I254" s="75" t="s">
        <v>99</v>
      </c>
    </row>
    <row r="255" spans="1:9" ht="57.6">
      <c r="A255" s="74">
        <v>220</v>
      </c>
      <c r="B255" s="75" t="s">
        <v>357</v>
      </c>
      <c r="C255" s="75" t="s">
        <v>1816</v>
      </c>
      <c r="D255" s="75" t="s">
        <v>1160</v>
      </c>
      <c r="E255" s="75" t="s">
        <v>987</v>
      </c>
      <c r="F255" s="75" t="s">
        <v>1597</v>
      </c>
      <c r="G255" s="75" t="str">
        <f>+IF(ISERROR(VLOOKUP(E255,Tareas_Maestro!A:E,5,0)),"",VLOOKUP(E255,Tareas_Maestro!A:E,5,0))</f>
        <v>T13.1: Asegurar implementación y cobertura de casos de uso del Asistente Virtual Global (GVA)</v>
      </c>
      <c r="H255" s="77" t="s">
        <v>1270</v>
      </c>
      <c r="I255" s="75" t="s">
        <v>99</v>
      </c>
    </row>
    <row r="256" spans="1:9" ht="57.6">
      <c r="A256" s="1">
        <v>340</v>
      </c>
      <c r="B256" s="75" t="s">
        <v>357</v>
      </c>
      <c r="C256" s="75" t="s">
        <v>1816</v>
      </c>
      <c r="D256" s="75" t="s">
        <v>360</v>
      </c>
      <c r="E256" s="75" t="s">
        <v>1577</v>
      </c>
      <c r="F256" s="75" t="s">
        <v>1607</v>
      </c>
      <c r="G256" s="75" t="str">
        <f>+IF(ISERROR(VLOOKUP(E256,Tareas_Maestro!A:E,5,0)),"",VLOOKUP(E256,Tareas_Maestro!A:E,5,0))</f>
        <v>Documentar acciones de mejora basado en análisis de reportes de GVA</v>
      </c>
      <c r="H256" s="77" t="s">
        <v>1270</v>
      </c>
      <c r="I256" s="75" t="s">
        <v>99</v>
      </c>
    </row>
    <row r="257" spans="1:9" ht="72">
      <c r="A257" s="74">
        <v>221</v>
      </c>
      <c r="B257" s="75" t="s">
        <v>361</v>
      </c>
      <c r="C257" s="75" t="s">
        <v>1817</v>
      </c>
      <c r="D257" s="75" t="s">
        <v>1162</v>
      </c>
      <c r="E257" s="75" t="s">
        <v>990</v>
      </c>
      <c r="F257" s="75" t="s">
        <v>1597</v>
      </c>
      <c r="G257" s="75" t="str">
        <f>+IF(ISERROR(VLOOKUP(E257,Tareas_Maestro!A:E,5,0)),"",VLOOKUP(E257,Tareas_Maestro!A:E,5,0))</f>
        <v>T14.1: Asegurar disponibilidad y actualización de documentación de enrutamiento de llamadas (FDS/BDC)</v>
      </c>
      <c r="H257" s="77" t="s">
        <v>1270</v>
      </c>
      <c r="I257" s="75" t="s">
        <v>99</v>
      </c>
    </row>
    <row r="258" spans="1:9" ht="57.6">
      <c r="A258" s="74">
        <v>222</v>
      </c>
      <c r="B258" s="75" t="s">
        <v>361</v>
      </c>
      <c r="C258" s="75" t="s">
        <v>1818</v>
      </c>
      <c r="D258" s="75" t="s">
        <v>1163</v>
      </c>
      <c r="E258" s="75" t="s">
        <v>990</v>
      </c>
      <c r="F258" s="75" t="s">
        <v>1597</v>
      </c>
      <c r="G258" s="75" t="str">
        <f>+IF(ISERROR(VLOOKUP(E258,Tareas_Maestro!A:E,5,0)),"",VLOOKUP(E258,Tareas_Maestro!A:E,5,0))</f>
        <v>T14.1: Asegurar disponibilidad y actualización de documentación de enrutamiento de llamadas (FDS/BDC)</v>
      </c>
      <c r="H258" s="77" t="s">
        <v>1270</v>
      </c>
      <c r="I258" s="75" t="s">
        <v>99</v>
      </c>
    </row>
    <row r="259" spans="1:9" ht="57.6">
      <c r="A259" s="74">
        <v>223</v>
      </c>
      <c r="B259" s="75" t="s">
        <v>361</v>
      </c>
      <c r="C259" s="75" t="s">
        <v>1819</v>
      </c>
      <c r="D259" s="75" t="s">
        <v>1164</v>
      </c>
      <c r="E259" s="75" t="s">
        <v>990</v>
      </c>
      <c r="F259" s="75" t="s">
        <v>1597</v>
      </c>
      <c r="G259" s="75" t="str">
        <f>+IF(ISERROR(VLOOKUP(E259,Tareas_Maestro!A:E,5,0)),"",VLOOKUP(E259,Tareas_Maestro!A:E,5,0))</f>
        <v>T14.1: Asegurar disponibilidad y actualización de documentación de enrutamiento de llamadas (FDS/BDC)</v>
      </c>
      <c r="H259" s="77" t="s">
        <v>1270</v>
      </c>
      <c r="I259" s="75" t="s">
        <v>99</v>
      </c>
    </row>
    <row r="260" spans="1:9" ht="57.6">
      <c r="A260" s="74">
        <v>224</v>
      </c>
      <c r="B260" s="75" t="s">
        <v>361</v>
      </c>
      <c r="C260" s="75" t="s">
        <v>1820</v>
      </c>
      <c r="D260" s="75" t="s">
        <v>1165</v>
      </c>
      <c r="E260" s="75" t="s">
        <v>990</v>
      </c>
      <c r="F260" s="75" t="s">
        <v>1597</v>
      </c>
      <c r="G260" s="75" t="str">
        <f>+IF(ISERROR(VLOOKUP(E260,Tareas_Maestro!A:E,5,0)),"",VLOOKUP(E260,Tareas_Maestro!A:E,5,0))</f>
        <v>T14.1: Asegurar disponibilidad y actualización de documentación de enrutamiento de llamadas (FDS/BDC)</v>
      </c>
      <c r="H260" s="77" t="s">
        <v>1270</v>
      </c>
      <c r="I260" s="75" t="s">
        <v>99</v>
      </c>
    </row>
    <row r="261" spans="1:9" ht="57.6">
      <c r="A261" s="74">
        <v>225</v>
      </c>
      <c r="B261" s="75" t="s">
        <v>361</v>
      </c>
      <c r="C261" s="75" t="s">
        <v>1821</v>
      </c>
      <c r="D261" s="75" t="s">
        <v>1166</v>
      </c>
      <c r="E261" s="75" t="s">
        <v>990</v>
      </c>
      <c r="F261" s="75" t="s">
        <v>1597</v>
      </c>
      <c r="G261" s="75" t="str">
        <f>+IF(ISERROR(VLOOKUP(E261,Tareas_Maestro!A:E,5,0)),"",VLOOKUP(E261,Tareas_Maestro!A:E,5,0))</f>
        <v>T14.1: Asegurar disponibilidad y actualización de documentación de enrutamiento de llamadas (FDS/BDC)</v>
      </c>
      <c r="H261" s="77" t="s">
        <v>1270</v>
      </c>
      <c r="I261" s="75" t="s">
        <v>99</v>
      </c>
    </row>
    <row r="262" spans="1:9" ht="57.6">
      <c r="A262" s="74">
        <v>226</v>
      </c>
      <c r="B262" s="75" t="s">
        <v>367</v>
      </c>
      <c r="C262" s="75" t="s">
        <v>1822</v>
      </c>
      <c r="D262" s="75" t="s">
        <v>1168</v>
      </c>
      <c r="E262" s="75" t="s">
        <v>994</v>
      </c>
      <c r="F262" s="75" t="s">
        <v>1597</v>
      </c>
      <c r="G262" s="75" t="str">
        <f>+IF(ISERROR(VLOOKUP(E262,Tareas_Maestro!A:E,5,0)),"",VLOOKUP(E262,Tareas_Maestro!A:E,5,0))</f>
        <v>T15.1: Revisar configuración IVR con máximo 3 capas y 5 opciones, y opción a agente en vivo</v>
      </c>
      <c r="H262" s="77" t="s">
        <v>1270</v>
      </c>
      <c r="I262" s="75" t="s">
        <v>99</v>
      </c>
    </row>
    <row r="263" spans="1:9" ht="129.6">
      <c r="A263" s="74">
        <v>227</v>
      </c>
      <c r="B263" s="75" t="s">
        <v>367</v>
      </c>
      <c r="C263" s="75" t="s">
        <v>1823</v>
      </c>
      <c r="D263" s="75" t="s">
        <v>1169</v>
      </c>
      <c r="E263" s="75" t="s">
        <v>994</v>
      </c>
      <c r="F263" s="75" t="s">
        <v>1597</v>
      </c>
      <c r="G263" s="75" t="str">
        <f>+IF(ISERROR(VLOOKUP(E263,Tareas_Maestro!A:E,5,0)),"",VLOOKUP(E263,Tareas_Maestro!A:E,5,0))</f>
        <v>T15.1: Revisar configuración IVR con máximo 3 capas y 5 opciones, y opción a agente en vivo</v>
      </c>
      <c r="H263" s="77" t="s">
        <v>1270</v>
      </c>
      <c r="I263" s="75" t="s">
        <v>99</v>
      </c>
    </row>
    <row r="264" spans="1:9" ht="57.6">
      <c r="A264" s="74">
        <v>228</v>
      </c>
      <c r="B264" s="75" t="s">
        <v>367</v>
      </c>
      <c r="C264" s="75" t="s">
        <v>1824</v>
      </c>
      <c r="D264" s="75" t="s">
        <v>1170</v>
      </c>
      <c r="E264" s="75" t="s">
        <v>994</v>
      </c>
      <c r="F264" s="75" t="s">
        <v>1597</v>
      </c>
      <c r="G264" s="75" t="str">
        <f>+IF(ISERROR(VLOOKUP(E264,Tareas_Maestro!A:E,5,0)),"",VLOOKUP(E264,Tareas_Maestro!A:E,5,0))</f>
        <v>T15.1: Revisar configuración IVR con máximo 3 capas y 5 opciones, y opción a agente en vivo</v>
      </c>
      <c r="H264" s="77" t="s">
        <v>1270</v>
      </c>
      <c r="I264" s="75" t="s">
        <v>99</v>
      </c>
    </row>
    <row r="265" spans="1:9" ht="57.6">
      <c r="A265" s="74">
        <v>229</v>
      </c>
      <c r="B265" s="75" t="s">
        <v>367</v>
      </c>
      <c r="C265" s="75" t="s">
        <v>1825</v>
      </c>
      <c r="D265" s="75" t="s">
        <v>1171</v>
      </c>
      <c r="E265" s="75" t="s">
        <v>994</v>
      </c>
      <c r="F265" s="75" t="s">
        <v>1597</v>
      </c>
      <c r="G265" s="75" t="str">
        <f>+IF(ISERROR(VLOOKUP(E265,Tareas_Maestro!A:E,5,0)),"",VLOOKUP(E265,Tareas_Maestro!A:E,5,0))</f>
        <v>T15.1: Revisar configuración IVR con máximo 3 capas y 5 opciones, y opción a agente en vivo</v>
      </c>
      <c r="H265" s="77" t="s">
        <v>1270</v>
      </c>
      <c r="I265" s="75" t="s">
        <v>99</v>
      </c>
    </row>
    <row r="266" spans="1:9" ht="57.6">
      <c r="A266" s="74">
        <v>230</v>
      </c>
      <c r="B266" s="75" t="s">
        <v>367</v>
      </c>
      <c r="C266" s="75" t="s">
        <v>1826</v>
      </c>
      <c r="D266" s="75" t="s">
        <v>1172</v>
      </c>
      <c r="E266" s="75" t="s">
        <v>994</v>
      </c>
      <c r="F266" s="75" t="s">
        <v>1597</v>
      </c>
      <c r="G266" s="75" t="str">
        <f>+IF(ISERROR(VLOOKUP(E266,Tareas_Maestro!A:E,5,0)),"",VLOOKUP(E266,Tareas_Maestro!A:E,5,0))</f>
        <v>T15.1: Revisar configuración IVR con máximo 3 capas y 5 opciones, y opción a agente en vivo</v>
      </c>
      <c r="H266" s="77" t="s">
        <v>1270</v>
      </c>
      <c r="I266" s="75" t="s">
        <v>99</v>
      </c>
    </row>
    <row r="267" spans="1:9" ht="57.6">
      <c r="A267" s="74">
        <v>231</v>
      </c>
      <c r="B267" s="75" t="s">
        <v>367</v>
      </c>
      <c r="C267" s="75" t="s">
        <v>1827</v>
      </c>
      <c r="D267" s="75" t="s">
        <v>1173</v>
      </c>
      <c r="E267" s="75" t="s">
        <v>994</v>
      </c>
      <c r="F267" s="75" t="s">
        <v>1597</v>
      </c>
      <c r="G267" s="75" t="str">
        <f>+IF(ISERROR(VLOOKUP(E267,Tareas_Maestro!A:E,5,0)),"",VLOOKUP(E267,Tareas_Maestro!A:E,5,0))</f>
        <v>T15.1: Revisar configuración IVR con máximo 3 capas y 5 opciones, y opción a agente en vivo</v>
      </c>
      <c r="H267" s="77" t="s">
        <v>1270</v>
      </c>
      <c r="I267" s="75" t="s">
        <v>99</v>
      </c>
    </row>
    <row r="268" spans="1:9" ht="57.6">
      <c r="A268" s="74">
        <v>232</v>
      </c>
      <c r="B268" s="75" t="s">
        <v>367</v>
      </c>
      <c r="C268" s="75" t="s">
        <v>1828</v>
      </c>
      <c r="D268" s="75" t="s">
        <v>1174</v>
      </c>
      <c r="E268" s="75" t="s">
        <v>994</v>
      </c>
      <c r="F268" s="75" t="s">
        <v>1597</v>
      </c>
      <c r="G268" s="75" t="str">
        <f>+IF(ISERROR(VLOOKUP(E268,Tareas_Maestro!A:E,5,0)),"",VLOOKUP(E268,Tareas_Maestro!A:E,5,0))</f>
        <v>T15.1: Revisar configuración IVR con máximo 3 capas y 5 opciones, y opción a agente en vivo</v>
      </c>
      <c r="H268" s="77" t="s">
        <v>1270</v>
      </c>
      <c r="I268" s="75" t="s">
        <v>99</v>
      </c>
    </row>
    <row r="269" spans="1:9" ht="72">
      <c r="A269" s="74">
        <v>233</v>
      </c>
      <c r="B269" s="75" t="s">
        <v>375</v>
      </c>
      <c r="C269" s="75" t="s">
        <v>1829</v>
      </c>
      <c r="D269" s="75" t="s">
        <v>1176</v>
      </c>
      <c r="E269" s="75" t="s">
        <v>999</v>
      </c>
      <c r="F269" s="75" t="s">
        <v>1597</v>
      </c>
      <c r="G269" s="75" t="str">
        <f>+IF(ISERROR(VLOOKUP(E269,Tareas_Maestro!A:E,5,0)),"",VLOOKUP(E269,Tareas_Maestro!A:E,5,0))</f>
        <v>T16.1: Revisar configuración de Asistente Automático (AA) para optimizar enrutamiento y acceso a agente</v>
      </c>
      <c r="H269" s="77" t="s">
        <v>1270</v>
      </c>
      <c r="I269" s="75" t="s">
        <v>99</v>
      </c>
    </row>
    <row r="270" spans="1:9" ht="57.6">
      <c r="A270" s="74">
        <v>234</v>
      </c>
      <c r="B270" s="75" t="s">
        <v>375</v>
      </c>
      <c r="C270" s="75" t="s">
        <v>1830</v>
      </c>
      <c r="D270" s="75" t="s">
        <v>1177</v>
      </c>
      <c r="E270" s="75" t="s">
        <v>999</v>
      </c>
      <c r="F270" s="75" t="s">
        <v>1597</v>
      </c>
      <c r="G270" s="75" t="str">
        <f>+IF(ISERROR(VLOOKUP(E270,Tareas_Maestro!A:E,5,0)),"",VLOOKUP(E270,Tareas_Maestro!A:E,5,0))</f>
        <v>T16.1: Revisar configuración de Asistente Automático (AA) para optimizar enrutamiento y acceso a agente</v>
      </c>
      <c r="H270" s="77" t="s">
        <v>1270</v>
      </c>
      <c r="I270" s="75" t="s">
        <v>99</v>
      </c>
    </row>
    <row r="271" spans="1:9" ht="57.6">
      <c r="A271" s="74">
        <v>235</v>
      </c>
      <c r="B271" s="75" t="s">
        <v>375</v>
      </c>
      <c r="C271" s="75" t="s">
        <v>1831</v>
      </c>
      <c r="D271" s="75" t="s">
        <v>1178</v>
      </c>
      <c r="E271" s="75" t="s">
        <v>999</v>
      </c>
      <c r="F271" s="75" t="s">
        <v>1597</v>
      </c>
      <c r="G271" s="75" t="str">
        <f>+IF(ISERROR(VLOOKUP(E271,Tareas_Maestro!A:E,5,0)),"",VLOOKUP(E271,Tareas_Maestro!A:E,5,0))</f>
        <v>T16.1: Revisar configuración de Asistente Automático (AA) para optimizar enrutamiento y acceso a agente</v>
      </c>
      <c r="H271" s="77" t="s">
        <v>1270</v>
      </c>
      <c r="I271" s="75" t="s">
        <v>99</v>
      </c>
    </row>
    <row r="272" spans="1:9" ht="57.6">
      <c r="A272" s="74">
        <v>236</v>
      </c>
      <c r="B272" s="75" t="s">
        <v>375</v>
      </c>
      <c r="C272" s="75" t="s">
        <v>1832</v>
      </c>
      <c r="D272" s="75" t="s">
        <v>1179</v>
      </c>
      <c r="E272" s="75" t="s">
        <v>999</v>
      </c>
      <c r="F272" s="75" t="s">
        <v>1597</v>
      </c>
      <c r="G272" s="75" t="str">
        <f>+IF(ISERROR(VLOOKUP(E272,Tareas_Maestro!A:E,5,0)),"",VLOOKUP(E272,Tareas_Maestro!A:E,5,0))</f>
        <v>T16.1: Revisar configuración de Asistente Automático (AA) para optimizar enrutamiento y acceso a agente</v>
      </c>
      <c r="H272" s="77" t="s">
        <v>1270</v>
      </c>
      <c r="I272" s="75" t="s">
        <v>99</v>
      </c>
    </row>
    <row r="273" spans="1:9" ht="57.6">
      <c r="A273" s="74">
        <v>237</v>
      </c>
      <c r="B273" s="75" t="s">
        <v>375</v>
      </c>
      <c r="C273" s="75" t="s">
        <v>1833</v>
      </c>
      <c r="D273" s="75" t="s">
        <v>1180</v>
      </c>
      <c r="E273" s="75" t="s">
        <v>999</v>
      </c>
      <c r="F273" s="75" t="s">
        <v>1597</v>
      </c>
      <c r="G273" s="75" t="str">
        <f>+IF(ISERROR(VLOOKUP(E273,Tareas_Maestro!A:E,5,0)),"",VLOOKUP(E273,Tareas_Maestro!A:E,5,0))</f>
        <v>T16.1: Revisar configuración de Asistente Automático (AA) para optimizar enrutamiento y acceso a agente</v>
      </c>
      <c r="H273" s="77" t="s">
        <v>1270</v>
      </c>
      <c r="I273" s="75" t="s">
        <v>99</v>
      </c>
    </row>
    <row r="274" spans="1:9" ht="57.6">
      <c r="A274" s="74">
        <v>238</v>
      </c>
      <c r="B274" s="75" t="s">
        <v>375</v>
      </c>
      <c r="C274" s="75" t="s">
        <v>1834</v>
      </c>
      <c r="D274" s="75" t="s">
        <v>1181</v>
      </c>
      <c r="E274" s="75" t="s">
        <v>999</v>
      </c>
      <c r="F274" s="75" t="s">
        <v>1597</v>
      </c>
      <c r="G274" s="75" t="str">
        <f>+IF(ISERROR(VLOOKUP(E274,Tareas_Maestro!A:E,5,0)),"",VLOOKUP(E274,Tareas_Maestro!A:E,5,0))</f>
        <v>T16.1: Revisar configuración de Asistente Automático (AA) para optimizar enrutamiento y acceso a agente</v>
      </c>
      <c r="H274" s="77" t="s">
        <v>1270</v>
      </c>
      <c r="I274" s="75" t="s">
        <v>99</v>
      </c>
    </row>
    <row r="275" spans="1:9" ht="43.15">
      <c r="A275" s="74">
        <v>239</v>
      </c>
      <c r="B275" s="75" t="s">
        <v>382</v>
      </c>
      <c r="C275" s="75" t="s">
        <v>1835</v>
      </c>
      <c r="D275" s="75" t="s">
        <v>1183</v>
      </c>
      <c r="E275" s="75" t="s">
        <v>843</v>
      </c>
      <c r="F275" s="75" t="s">
        <v>1597</v>
      </c>
      <c r="G275" s="75" t="str">
        <f>+IF(ISERROR(VLOOKUP(E275,Tareas_Maestro!A:E,5,0)),"",VLOOKUP(E275,Tareas_Maestro!A:E,5,0))</f>
        <v>M01.1: Gestionar análisis de causa raíz (RCA) de Traces, Claims y Complaints</v>
      </c>
      <c r="H275" s="77" t="s">
        <v>1270</v>
      </c>
      <c r="I275" s="75" t="s">
        <v>99</v>
      </c>
    </row>
    <row r="276" spans="1:9" ht="72">
      <c r="A276" s="74">
        <v>240</v>
      </c>
      <c r="B276" s="75" t="s">
        <v>382</v>
      </c>
      <c r="C276" s="75" t="s">
        <v>1836</v>
      </c>
      <c r="D276" s="75" t="s">
        <v>1184</v>
      </c>
      <c r="E276" s="75" t="s">
        <v>843</v>
      </c>
      <c r="F276" s="75" t="s">
        <v>1597</v>
      </c>
      <c r="G276" s="75" t="str">
        <f>+IF(ISERROR(VLOOKUP(E276,Tareas_Maestro!A:E,5,0)),"",VLOOKUP(E276,Tareas_Maestro!A:E,5,0))</f>
        <v>M01.1: Gestionar análisis de causa raíz (RCA) de Traces, Claims y Complaints</v>
      </c>
      <c r="H276" s="77" t="s">
        <v>1270</v>
      </c>
      <c r="I276" s="75" t="s">
        <v>99</v>
      </c>
    </row>
    <row r="277" spans="1:9" ht="72">
      <c r="A277" s="1">
        <v>303</v>
      </c>
      <c r="B277" s="75" t="s">
        <v>382</v>
      </c>
      <c r="C277" s="75" t="s">
        <v>1836</v>
      </c>
      <c r="D277" s="75" t="s">
        <v>384</v>
      </c>
      <c r="E277" s="75" t="s">
        <v>1427</v>
      </c>
      <c r="F277" s="75" t="s">
        <v>1607</v>
      </c>
      <c r="G277" s="75" t="str">
        <f>+IF(ISERROR(VLOOKUP(E277,Tareas_Maestro!A:E,5,0)),"",VLOOKUP(E277,Tareas_Maestro!A:E,5,0))</f>
        <v>Armar presentaciones para el SMT en base a análisis del RCA para resolver principales oportunidades de aperturas de casos a nivel local</v>
      </c>
      <c r="H277" s="77" t="s">
        <v>1270</v>
      </c>
      <c r="I277" s="75" t="s">
        <v>99</v>
      </c>
    </row>
    <row r="278" spans="1:9" ht="43.15">
      <c r="A278" s="74">
        <v>241</v>
      </c>
      <c r="B278" s="75" t="s">
        <v>382</v>
      </c>
      <c r="C278" s="75" t="s">
        <v>1837</v>
      </c>
      <c r="D278" s="75" t="s">
        <v>1185</v>
      </c>
      <c r="E278" s="75" t="s">
        <v>843</v>
      </c>
      <c r="F278" s="75" t="s">
        <v>1597</v>
      </c>
      <c r="G278" s="75" t="str">
        <f>+IF(ISERROR(VLOOKUP(E278,Tareas_Maestro!A:E,5,0)),"",VLOOKUP(E278,Tareas_Maestro!A:E,5,0))</f>
        <v>M01.1: Gestionar análisis de causa raíz (RCA) de Traces, Claims y Complaints</v>
      </c>
      <c r="H278" s="77" t="s">
        <v>1270</v>
      </c>
      <c r="I278" s="75" t="s">
        <v>99</v>
      </c>
    </row>
    <row r="279" spans="1:9" ht="57.6">
      <c r="A279" s="74">
        <v>242</v>
      </c>
      <c r="B279" s="75" t="s">
        <v>382</v>
      </c>
      <c r="C279" s="75" t="s">
        <v>1838</v>
      </c>
      <c r="D279" s="75" t="s">
        <v>1186</v>
      </c>
      <c r="E279" s="75" t="s">
        <v>843</v>
      </c>
      <c r="F279" s="75" t="s">
        <v>1597</v>
      </c>
      <c r="G279" s="75" t="str">
        <f>+IF(ISERROR(VLOOKUP(E279,Tareas_Maestro!A:E,5,0)),"",VLOOKUP(E279,Tareas_Maestro!A:E,5,0))</f>
        <v>M01.1: Gestionar análisis de causa raíz (RCA) de Traces, Claims y Complaints</v>
      </c>
      <c r="H279" s="77" t="s">
        <v>1270</v>
      </c>
      <c r="I279" s="75" t="s">
        <v>99</v>
      </c>
    </row>
    <row r="280" spans="1:9" ht="72">
      <c r="A280" s="1">
        <v>304</v>
      </c>
      <c r="B280" s="75" t="s">
        <v>382</v>
      </c>
      <c r="C280" s="75" t="s">
        <v>1838</v>
      </c>
      <c r="D280" s="75" t="s">
        <v>386</v>
      </c>
      <c r="E280" s="75" t="s">
        <v>1429</v>
      </c>
      <c r="F280" s="75" t="s">
        <v>1607</v>
      </c>
      <c r="G280" s="75" t="str">
        <f>+IF(ISERROR(VLOOKUP(E280,Tareas_Maestro!A:E,5,0)),"",VLOOKUP(E280,Tareas_Maestro!A:E,5,0))</f>
        <v>Documentar planes de acción, seguimiento y evidencia de ejecución, con responsables, fechas y evolución en el tiempo y acciones correctivas.</v>
      </c>
      <c r="H280" s="77" t="s">
        <v>1270</v>
      </c>
      <c r="I280" s="75" t="s">
        <v>99</v>
      </c>
    </row>
    <row r="281" spans="1:9" ht="72">
      <c r="A281" s="74">
        <v>243</v>
      </c>
      <c r="B281" s="75" t="s">
        <v>382</v>
      </c>
      <c r="C281" s="75" t="s">
        <v>1839</v>
      </c>
      <c r="D281" s="75" t="s">
        <v>1187</v>
      </c>
      <c r="E281" s="75" t="s">
        <v>1429</v>
      </c>
      <c r="F281" s="75" t="s">
        <v>1597</v>
      </c>
      <c r="G281" s="75" t="str">
        <f>+IF(ISERROR(VLOOKUP(E281,Tareas_Maestro!A:E,5,0)),"",VLOOKUP(E281,Tareas_Maestro!A:E,5,0))</f>
        <v>Documentar planes de acción, seguimiento y evidencia de ejecución, con responsables, fechas y evolución en el tiempo y acciones correctivas.</v>
      </c>
      <c r="H281" s="77" t="s">
        <v>1270</v>
      </c>
      <c r="I281" s="75" t="s">
        <v>99</v>
      </c>
    </row>
    <row r="282" spans="1:9" ht="72">
      <c r="A282" s="74">
        <v>244</v>
      </c>
      <c r="B282" s="75" t="s">
        <v>382</v>
      </c>
      <c r="C282" s="75" t="s">
        <v>1840</v>
      </c>
      <c r="D282" s="75" t="s">
        <v>1188</v>
      </c>
      <c r="E282" s="75" t="s">
        <v>1429</v>
      </c>
      <c r="F282" s="75" t="s">
        <v>1597</v>
      </c>
      <c r="G282" s="75" t="str">
        <f>+IF(ISERROR(VLOOKUP(E282,Tareas_Maestro!A:E,5,0)),"",VLOOKUP(E282,Tareas_Maestro!A:E,5,0))</f>
        <v>Documentar planes de acción, seguimiento y evidencia de ejecución, con responsables, fechas y evolución en el tiempo y acciones correctivas.</v>
      </c>
      <c r="H282" s="77" t="s">
        <v>1270</v>
      </c>
      <c r="I282" s="75" t="s">
        <v>99</v>
      </c>
    </row>
    <row r="283" spans="1:9" ht="43.15">
      <c r="A283" s="74">
        <v>245</v>
      </c>
      <c r="B283" s="75" t="s">
        <v>382</v>
      </c>
      <c r="C283" s="75" t="s">
        <v>1841</v>
      </c>
      <c r="D283" s="75" t="s">
        <v>1189</v>
      </c>
      <c r="E283" s="75" t="s">
        <v>843</v>
      </c>
      <c r="F283" s="75" t="s">
        <v>1597</v>
      </c>
      <c r="G283" s="75" t="str">
        <f>+IF(ISERROR(VLOOKUP(E283,Tareas_Maestro!A:E,5,0)),"",VLOOKUP(E283,Tareas_Maestro!A:E,5,0))</f>
        <v>M01.1: Gestionar análisis de causa raíz (RCA) de Traces, Claims y Complaints</v>
      </c>
      <c r="H283" s="77" t="s">
        <v>1270</v>
      </c>
      <c r="I283" s="75" t="s">
        <v>99</v>
      </c>
    </row>
    <row r="284" spans="1:9" ht="72">
      <c r="A284">
        <v>305</v>
      </c>
      <c r="B284" s="75" t="s">
        <v>382</v>
      </c>
      <c r="C284" s="75" t="s">
        <v>1841</v>
      </c>
      <c r="D284" s="75" t="s">
        <v>389</v>
      </c>
      <c r="E284" s="75" t="s">
        <v>1430</v>
      </c>
      <c r="F284" s="75" t="s">
        <v>1607</v>
      </c>
      <c r="G284" s="75" t="str">
        <f>+IF(ISERROR(VLOOKUP(E284,Tareas_Maestro!A:E,5,0)),"",VLOOKUP(E284,Tareas_Maestro!A:E,5,0))</f>
        <v>Realizar análisis main offenders y enviarlo a los países que nos impactan en nuestros casos de país, con un plan de acción y seguimiento</v>
      </c>
      <c r="H284" s="77" t="s">
        <v>1270</v>
      </c>
      <c r="I284" s="75" t="s">
        <v>99</v>
      </c>
    </row>
    <row r="285" spans="1:9" ht="43.15">
      <c r="A285" s="108">
        <v>246</v>
      </c>
      <c r="B285" s="75" t="s">
        <v>382</v>
      </c>
      <c r="C285" s="75" t="s">
        <v>1842</v>
      </c>
      <c r="D285" s="75" t="s">
        <v>1190</v>
      </c>
      <c r="E285" s="75" t="s">
        <v>843</v>
      </c>
      <c r="F285" s="75" t="s">
        <v>1597</v>
      </c>
      <c r="G285" s="75" t="str">
        <f>+IF(ISERROR(VLOOKUP(E285,Tareas_Maestro!A:E,5,0)),"",VLOOKUP(E285,Tareas_Maestro!A:E,5,0))</f>
        <v>M01.1: Gestionar análisis de causa raíz (RCA) de Traces, Claims y Complaints</v>
      </c>
      <c r="H285" s="77" t="s">
        <v>1270</v>
      </c>
      <c r="I285" s="75" t="s">
        <v>99</v>
      </c>
    </row>
    <row r="286" spans="1:9" ht="57.6">
      <c r="A286" s="108">
        <v>247</v>
      </c>
      <c r="B286" s="75" t="s">
        <v>391</v>
      </c>
      <c r="C286" s="75" t="s">
        <v>1843</v>
      </c>
      <c r="D286" s="75" t="s">
        <v>1192</v>
      </c>
      <c r="E286" s="75" t="s">
        <v>847</v>
      </c>
      <c r="F286" s="75" t="s">
        <v>1597</v>
      </c>
      <c r="G286" s="75" t="str">
        <f>+IF(ISERROR(VLOOKUP(E286,Tareas_Maestro!A:E,5,0)),"",VLOOKUP(E286,Tareas_Maestro!A:E,5,0))</f>
        <v>M02.1: Implementar enfoque estructurado para revisar y actuar sobre feedback del cliente</v>
      </c>
      <c r="H286" s="77" t="s">
        <v>1270</v>
      </c>
      <c r="I286" s="75" t="s">
        <v>99</v>
      </c>
    </row>
    <row r="287" spans="1:9" ht="43.15">
      <c r="A287" s="108">
        <v>248</v>
      </c>
      <c r="B287" s="75" t="s">
        <v>391</v>
      </c>
      <c r="C287" s="75" t="s">
        <v>1844</v>
      </c>
      <c r="D287" s="75" t="s">
        <v>1193</v>
      </c>
      <c r="E287" s="75" t="s">
        <v>847</v>
      </c>
      <c r="F287" s="75" t="s">
        <v>1597</v>
      </c>
      <c r="G287" s="75" t="str">
        <f>+IF(ISERROR(VLOOKUP(E287,Tareas_Maestro!A:E,5,0)),"",VLOOKUP(E287,Tareas_Maestro!A:E,5,0))</f>
        <v>M02.1: Implementar enfoque estructurado para revisar y actuar sobre feedback del cliente</v>
      </c>
      <c r="H287" s="77" t="s">
        <v>1270</v>
      </c>
      <c r="I287" s="75" t="s">
        <v>99</v>
      </c>
    </row>
    <row r="288" spans="1:9" ht="43.15">
      <c r="A288">
        <v>306</v>
      </c>
      <c r="B288" s="75" t="s">
        <v>391</v>
      </c>
      <c r="C288" s="75" t="s">
        <v>1844</v>
      </c>
      <c r="D288" s="75" t="s">
        <v>393</v>
      </c>
      <c r="E288" s="75" t="s">
        <v>1434</v>
      </c>
      <c r="F288" s="75" t="s">
        <v>1607</v>
      </c>
      <c r="G288" s="75" t="str">
        <f>+IF(ISERROR(VLOOKUP(E288,Tareas_Maestro!A:E,5,0)),"",VLOOKUP(E288,Tareas_Maestro!A:E,5,0))</f>
        <v>Armar presentación de la voz del cliente de acuerdo con análisis de VOICE</v>
      </c>
      <c r="H288" s="77" t="s">
        <v>1270</v>
      </c>
      <c r="I288" s="75" t="s">
        <v>99</v>
      </c>
    </row>
    <row r="289" spans="1:10" ht="57.6">
      <c r="A289" s="108">
        <v>249</v>
      </c>
      <c r="B289" s="75" t="s">
        <v>391</v>
      </c>
      <c r="C289" s="75" t="s">
        <v>1845</v>
      </c>
      <c r="D289" s="75" t="s">
        <v>1194</v>
      </c>
      <c r="E289" s="75" t="s">
        <v>847</v>
      </c>
      <c r="F289" s="75" t="s">
        <v>1597</v>
      </c>
      <c r="G289" s="75" t="str">
        <f>+IF(ISERROR(VLOOKUP(E289,Tareas_Maestro!A:E,5,0)),"",VLOOKUP(E289,Tareas_Maestro!A:E,5,0))</f>
        <v>M02.1: Implementar enfoque estructurado para revisar y actuar sobre feedback del cliente</v>
      </c>
      <c r="H289" s="77" t="s">
        <v>1270</v>
      </c>
      <c r="I289" s="75" t="s">
        <v>99</v>
      </c>
    </row>
    <row r="290" spans="1:10" ht="43.15">
      <c r="A290" s="108">
        <v>250</v>
      </c>
      <c r="B290" s="75" t="s">
        <v>391</v>
      </c>
      <c r="C290" s="75" t="s">
        <v>1846</v>
      </c>
      <c r="D290" s="75" t="s">
        <v>1195</v>
      </c>
      <c r="E290" s="75" t="s">
        <v>1434</v>
      </c>
      <c r="F290" s="75" t="s">
        <v>1597</v>
      </c>
      <c r="G290" s="75" t="str">
        <f>+IF(ISERROR(VLOOKUP(E290,Tareas_Maestro!A:E,5,0)),"",VLOOKUP(E290,Tareas_Maestro!A:E,5,0))</f>
        <v>Armar presentación de la voz del cliente de acuerdo con análisis de VOICE</v>
      </c>
      <c r="H290" s="77" t="s">
        <v>1270</v>
      </c>
      <c r="I290" s="75" t="s">
        <v>99</v>
      </c>
    </row>
    <row r="291" spans="1:10" ht="57.6">
      <c r="A291" s="108">
        <v>251</v>
      </c>
      <c r="B291" s="75" t="s">
        <v>391</v>
      </c>
      <c r="C291" s="75" t="s">
        <v>1847</v>
      </c>
      <c r="D291" s="75" t="s">
        <v>1196</v>
      </c>
      <c r="E291" s="75" t="s">
        <v>1434</v>
      </c>
      <c r="F291" s="75" t="s">
        <v>1597</v>
      </c>
      <c r="G291" s="75" t="str">
        <f>+IF(ISERROR(VLOOKUP(E291,Tareas_Maestro!A:E,5,0)),"",VLOOKUP(E291,Tareas_Maestro!A:E,5,0))</f>
        <v>Armar presentación de la voz del cliente de acuerdo con análisis de VOICE</v>
      </c>
      <c r="H291" s="77" t="s">
        <v>1270</v>
      </c>
      <c r="I291" s="75" t="s">
        <v>99</v>
      </c>
    </row>
    <row r="292" spans="1:10" ht="43.15">
      <c r="A292" s="108">
        <v>252</v>
      </c>
      <c r="B292" s="75" t="s">
        <v>397</v>
      </c>
      <c r="C292" s="75" t="s">
        <v>1848</v>
      </c>
      <c r="D292" s="75" t="s">
        <v>1198</v>
      </c>
      <c r="E292" s="75" t="s">
        <v>852</v>
      </c>
      <c r="F292" s="75" t="s">
        <v>1597</v>
      </c>
      <c r="G292" s="75" t="str">
        <f>+IF(ISERROR(VLOOKUP(E292,Tareas_Maestro!A:E,5,0)),"",VLOOKUP(E292,Tareas_Maestro!A:E,5,0))</f>
        <v>M03.1: Utilizar reportes estándar (PPMT y otros) para medir KPIs y eficiencia</v>
      </c>
      <c r="H292" s="77" t="s">
        <v>1270</v>
      </c>
      <c r="I292" s="75" t="s">
        <v>114</v>
      </c>
      <c r="J292" s="75" t="s">
        <v>1606</v>
      </c>
    </row>
    <row r="293" spans="1:10" ht="86.45">
      <c r="A293" s="108">
        <v>253</v>
      </c>
      <c r="B293" s="75" t="s">
        <v>397</v>
      </c>
      <c r="C293" s="75" t="s">
        <v>1849</v>
      </c>
      <c r="D293" s="75" t="s">
        <v>1199</v>
      </c>
      <c r="E293" s="75" t="s">
        <v>852</v>
      </c>
      <c r="F293" s="75" t="s">
        <v>1597</v>
      </c>
      <c r="G293" s="75" t="str">
        <f>+IF(ISERROR(VLOOKUP(E293,Tareas_Maestro!A:E,5,0)),"",VLOOKUP(E293,Tareas_Maestro!A:E,5,0))</f>
        <v>M03.1: Utilizar reportes estándar (PPMT y otros) para medir KPIs y eficiencia</v>
      </c>
      <c r="H293" s="77" t="s">
        <v>1270</v>
      </c>
      <c r="I293" s="75" t="s">
        <v>114</v>
      </c>
      <c r="J293" s="75" t="s">
        <v>1606</v>
      </c>
    </row>
    <row r="294" spans="1:10" ht="86.45">
      <c r="A294">
        <v>292</v>
      </c>
      <c r="B294" s="75" t="s">
        <v>397</v>
      </c>
      <c r="C294" s="75" t="s">
        <v>1849</v>
      </c>
      <c r="D294" s="75" t="s">
        <v>399</v>
      </c>
      <c r="E294" s="75" t="s">
        <v>1440</v>
      </c>
      <c r="F294" s="75" t="s">
        <v>1607</v>
      </c>
      <c r="G294" s="75" t="str">
        <f>+IF(ISERROR(VLOOKUP(E294,Tareas_Maestro!A:E,5,0)),"",VLOOKUP(E294,Tareas_Maestro!A:E,5,0))</f>
        <v>Revisar 2nd and 3rd escalation y hacer reporte para control de gestión</v>
      </c>
      <c r="H294" s="77" t="s">
        <v>1270</v>
      </c>
      <c r="I294" s="75" t="s">
        <v>99</v>
      </c>
    </row>
    <row r="295" spans="1:10" ht="86.45">
      <c r="A295">
        <v>307</v>
      </c>
      <c r="B295" s="75" t="s">
        <v>397</v>
      </c>
      <c r="C295" s="75" t="s">
        <v>1849</v>
      </c>
      <c r="D295" s="75" t="s">
        <v>399</v>
      </c>
      <c r="E295" s="75" t="s">
        <v>1441</v>
      </c>
      <c r="F295" s="75" t="s">
        <v>1607</v>
      </c>
      <c r="G295" s="75" t="str">
        <f>+IF(ISERROR(VLOOKUP(E295,Tareas_Maestro!A:E,5,0)),"",VLOOKUP(E295,Tareas_Maestro!A:E,5,0))</f>
        <v>Realizar reporte Booking cash para hacer seguimiento por advisor de FL</v>
      </c>
      <c r="H295" s="77" t="s">
        <v>1270</v>
      </c>
      <c r="I295" s="75" t="s">
        <v>99</v>
      </c>
    </row>
    <row r="296" spans="1:10" ht="86.45">
      <c r="A296">
        <v>308</v>
      </c>
      <c r="B296" s="75" t="s">
        <v>397</v>
      </c>
      <c r="C296" s="75" t="s">
        <v>1849</v>
      </c>
      <c r="D296" s="75" t="s">
        <v>399</v>
      </c>
      <c r="E296" s="75" t="s">
        <v>1443</v>
      </c>
      <c r="F296" s="75" t="s">
        <v>1607</v>
      </c>
      <c r="G296" s="75" t="str">
        <f>+IF(ISERROR(VLOOKUP(E296,Tareas_Maestro!A:E,5,0)),"",VLOOKUP(E296,Tareas_Maestro!A:E,5,0))</f>
        <v>Realizar reporte casos por cerrar de BL/KAD diario</v>
      </c>
      <c r="H296" s="77" t="s">
        <v>1270</v>
      </c>
      <c r="I296" s="75" t="s">
        <v>114</v>
      </c>
      <c r="J296" s="75" t="s">
        <v>1606</v>
      </c>
    </row>
    <row r="297" spans="1:10" ht="86.45">
      <c r="A297">
        <v>309</v>
      </c>
      <c r="B297" s="75" t="s">
        <v>397</v>
      </c>
      <c r="C297" s="75" t="s">
        <v>1849</v>
      </c>
      <c r="D297" s="75" t="s">
        <v>399</v>
      </c>
      <c r="E297" s="75" t="s">
        <v>1444</v>
      </c>
      <c r="F297" s="75" t="s">
        <v>1607</v>
      </c>
      <c r="G297" s="75" t="str">
        <f>+IF(ISERROR(VLOOKUP(E297,Tareas_Maestro!A:E,5,0)),"",VLOOKUP(E297,Tareas_Maestro!A:E,5,0))</f>
        <v>Realizar reporte de performance diario para FL/BL y KAD</v>
      </c>
      <c r="H297" s="77" t="s">
        <v>1270</v>
      </c>
      <c r="I297" s="75" t="s">
        <v>114</v>
      </c>
      <c r="J297" s="75" t="s">
        <v>1606</v>
      </c>
    </row>
    <row r="298" spans="1:10" ht="86.45">
      <c r="A298">
        <v>310</v>
      </c>
      <c r="B298" s="75" t="s">
        <v>397</v>
      </c>
      <c r="C298" s="75" t="s">
        <v>1849</v>
      </c>
      <c r="D298" s="75" t="s">
        <v>399</v>
      </c>
      <c r="E298" s="75" t="s">
        <v>1445</v>
      </c>
      <c r="F298" s="75" t="s">
        <v>1607</v>
      </c>
      <c r="G298" s="75" t="str">
        <f>+IF(ISERROR(VLOOKUP(E298,Tareas_Maestro!A:E,5,0)),"",VLOOKUP(E298,Tareas_Maestro!A:E,5,0))</f>
        <v>Realizar reporte de análisis de IVR mensual</v>
      </c>
      <c r="H298" s="77" t="s">
        <v>1270</v>
      </c>
      <c r="I298" s="75" t="s">
        <v>99</v>
      </c>
    </row>
    <row r="299" spans="1:10" ht="86.45">
      <c r="A299">
        <v>311</v>
      </c>
      <c r="B299" s="75" t="s">
        <v>397</v>
      </c>
      <c r="C299" s="75" t="s">
        <v>1849</v>
      </c>
      <c r="D299" s="75" t="s">
        <v>399</v>
      </c>
      <c r="E299" s="75" t="s">
        <v>1446</v>
      </c>
      <c r="F299" s="75" t="s">
        <v>1607</v>
      </c>
      <c r="G299" s="75" t="str">
        <f>+IF(ISERROR(VLOOKUP(E299,Tareas_Maestro!A:E,5,0)),"",VLOOKUP(E299,Tareas_Maestro!A:E,5,0))</f>
        <v>Realizar reporte de Leads semanal para agentes de FL</v>
      </c>
      <c r="H299" s="77" t="s">
        <v>1270</v>
      </c>
      <c r="I299" s="75" t="s">
        <v>99</v>
      </c>
    </row>
    <row r="300" spans="1:10" ht="86.45">
      <c r="A300">
        <v>312</v>
      </c>
      <c r="B300" s="75" t="s">
        <v>397</v>
      </c>
      <c r="C300" s="75" t="s">
        <v>1849</v>
      </c>
      <c r="D300" s="75" t="s">
        <v>399</v>
      </c>
      <c r="E300" s="75" t="s">
        <v>1448</v>
      </c>
      <c r="F300" s="75" t="s">
        <v>1607</v>
      </c>
      <c r="G300" s="75" t="str">
        <f>+IF(ISERROR(VLOOKUP(E300,Tareas_Maestro!A:E,5,0)),"",VLOOKUP(E300,Tareas_Maestro!A:E,5,0))</f>
        <v>Realizar reporte de mails diario para agentes de FL/BL y KAD</v>
      </c>
      <c r="H300" s="77" t="s">
        <v>1270</v>
      </c>
      <c r="I300" s="75" t="s">
        <v>114</v>
      </c>
      <c r="J300" s="75" t="s">
        <v>1606</v>
      </c>
    </row>
    <row r="301" spans="1:10" ht="86.45">
      <c r="A301">
        <v>313</v>
      </c>
      <c r="B301" s="75" t="s">
        <v>397</v>
      </c>
      <c r="C301" s="75" t="s">
        <v>1849</v>
      </c>
      <c r="D301" s="75" t="s">
        <v>399</v>
      </c>
      <c r="E301" s="75" t="s">
        <v>1449</v>
      </c>
      <c r="F301" s="75" t="s">
        <v>1607</v>
      </c>
      <c r="G301" s="75" t="str">
        <f>+IF(ISERROR(VLOOKUP(E301,Tareas_Maestro!A:E,5,0)),"",VLOOKUP(E301,Tareas_Maestro!A:E,5,0))</f>
        <v>Realizar reporte de Chat diario para agentes de FL/KAD</v>
      </c>
      <c r="H301" s="77" t="s">
        <v>1270</v>
      </c>
      <c r="I301" s="75" t="s">
        <v>114</v>
      </c>
      <c r="J301" s="75" t="s">
        <v>1606</v>
      </c>
    </row>
    <row r="302" spans="1:10" ht="86.45">
      <c r="A302">
        <v>314</v>
      </c>
      <c r="B302" s="75" t="s">
        <v>397</v>
      </c>
      <c r="C302" s="75" t="s">
        <v>1849</v>
      </c>
      <c r="D302" s="75" t="s">
        <v>399</v>
      </c>
      <c r="E302" s="75" t="s">
        <v>1450</v>
      </c>
      <c r="F302" s="75" t="s">
        <v>1607</v>
      </c>
      <c r="G302" s="75" t="str">
        <f>+IF(ISERROR(VLOOKUP(E302,Tareas_Maestro!A:E,5,0)),"",VLOOKUP(E302,Tareas_Maestro!A:E,5,0))</f>
        <v>Realizar reporte de Aging diario para agentes de BL/KAD y supervisores analizan casos de mayor aging con agentes</v>
      </c>
      <c r="H302" s="77" t="s">
        <v>1270</v>
      </c>
      <c r="I302" s="75" t="s">
        <v>114</v>
      </c>
      <c r="J302" s="75" t="s">
        <v>1606</v>
      </c>
    </row>
    <row r="303" spans="1:10" ht="86.45">
      <c r="A303">
        <v>315</v>
      </c>
      <c r="B303" s="75" t="s">
        <v>397</v>
      </c>
      <c r="C303" s="75" t="s">
        <v>1849</v>
      </c>
      <c r="D303" s="75" t="s">
        <v>399</v>
      </c>
      <c r="E303" s="75" t="s">
        <v>1451</v>
      </c>
      <c r="F303" s="75" t="s">
        <v>1607</v>
      </c>
      <c r="G303" s="75" t="str">
        <f>+IF(ISERROR(VLOOKUP(E303,Tareas_Maestro!A:E,5,0)),"",VLOOKUP(E303,Tareas_Maestro!A:E,5,0))</f>
        <v>Realizar reporte de uso PPMT para todos mensualmente</v>
      </c>
      <c r="H303" s="77" t="s">
        <v>1270</v>
      </c>
      <c r="I303" s="75" t="s">
        <v>99</v>
      </c>
    </row>
    <row r="304" spans="1:10" ht="86.45">
      <c r="A304">
        <v>316</v>
      </c>
      <c r="B304" s="75" t="s">
        <v>397</v>
      </c>
      <c r="C304" s="75" t="s">
        <v>1849</v>
      </c>
      <c r="D304" s="75" t="s">
        <v>399</v>
      </c>
      <c r="E304" s="75" t="s">
        <v>1452</v>
      </c>
      <c r="F304" s="75" t="s">
        <v>1607</v>
      </c>
      <c r="G304" s="75" t="str">
        <f>+IF(ISERROR(VLOOKUP(E304,Tareas_Maestro!A:E,5,0)),"",VLOOKUP(E304,Tareas_Maestro!A:E,5,0))</f>
        <v>Realizar reporte de FTRs y Wrap-up semanal para agentes de FL</v>
      </c>
      <c r="H304" s="77" t="s">
        <v>1270</v>
      </c>
      <c r="I304" s="75" t="s">
        <v>99</v>
      </c>
    </row>
    <row r="305" spans="1:10" ht="86.45">
      <c r="A305">
        <v>317</v>
      </c>
      <c r="B305" s="75" t="s">
        <v>397</v>
      </c>
      <c r="C305" s="75" t="s">
        <v>1849</v>
      </c>
      <c r="D305" s="75" t="s">
        <v>399</v>
      </c>
      <c r="E305" s="75" t="s">
        <v>1454</v>
      </c>
      <c r="F305" s="75" t="s">
        <v>1607</v>
      </c>
      <c r="G305" s="75" t="str">
        <f>+IF(ISERROR(VLOOKUP(E305,Tareas_Maestro!A:E,5,0)),"",VLOOKUP(E305,Tareas_Maestro!A:E,5,0))</f>
        <v>Realizar reporte de Scorecard mensual desde PPMT</v>
      </c>
      <c r="H305" s="77" t="s">
        <v>1270</v>
      </c>
      <c r="I305" s="75" t="s">
        <v>99</v>
      </c>
    </row>
    <row r="306" spans="1:10" ht="43.15">
      <c r="A306" s="108">
        <v>254</v>
      </c>
      <c r="B306" s="75" t="s">
        <v>397</v>
      </c>
      <c r="C306" s="75" t="s">
        <v>1850</v>
      </c>
      <c r="D306" s="75" t="s">
        <v>1200</v>
      </c>
      <c r="E306" s="75" t="s">
        <v>852</v>
      </c>
      <c r="F306" s="75" t="s">
        <v>1597</v>
      </c>
      <c r="G306" s="75" t="str">
        <f>+IF(ISERROR(VLOOKUP(E306,Tareas_Maestro!A:E,5,0)),"",VLOOKUP(E306,Tareas_Maestro!A:E,5,0))</f>
        <v>M03.1: Utilizar reportes estándar (PPMT y otros) para medir KPIs y eficiencia</v>
      </c>
      <c r="H306" s="77" t="s">
        <v>1270</v>
      </c>
      <c r="I306" s="75" t="s">
        <v>114</v>
      </c>
      <c r="J306" s="75" t="s">
        <v>1606</v>
      </c>
    </row>
    <row r="307" spans="1:10" ht="43.15">
      <c r="A307" s="108">
        <v>255</v>
      </c>
      <c r="B307" s="75" t="s">
        <v>397</v>
      </c>
      <c r="C307" s="75" t="s">
        <v>1851</v>
      </c>
      <c r="D307" s="75" t="s">
        <v>1201</v>
      </c>
      <c r="E307" s="75" t="s">
        <v>852</v>
      </c>
      <c r="F307" s="75" t="s">
        <v>1597</v>
      </c>
      <c r="G307" s="75" t="str">
        <f>+IF(ISERROR(VLOOKUP(E307,Tareas_Maestro!A:E,5,0)),"",VLOOKUP(E307,Tareas_Maestro!A:E,5,0))</f>
        <v>M03.1: Utilizar reportes estándar (PPMT y otros) para medir KPIs y eficiencia</v>
      </c>
      <c r="H307" s="77" t="s">
        <v>1270</v>
      </c>
      <c r="I307" s="75" t="s">
        <v>114</v>
      </c>
      <c r="J307" s="75" t="s">
        <v>1606</v>
      </c>
    </row>
    <row r="308" spans="1:10" ht="43.15">
      <c r="A308" s="108">
        <v>256</v>
      </c>
      <c r="B308" s="75" t="s">
        <v>397</v>
      </c>
      <c r="C308" s="75" t="s">
        <v>1852</v>
      </c>
      <c r="D308" s="75" t="s">
        <v>1202</v>
      </c>
      <c r="E308" s="75" t="s">
        <v>852</v>
      </c>
      <c r="F308" s="75" t="s">
        <v>1597</v>
      </c>
      <c r="G308" s="75" t="str">
        <f>+IF(ISERROR(VLOOKUP(E308,Tareas_Maestro!A:E,5,0)),"",VLOOKUP(E308,Tareas_Maestro!A:E,5,0))</f>
        <v>M03.1: Utilizar reportes estándar (PPMT y otros) para medir KPIs y eficiencia</v>
      </c>
      <c r="H308" s="77" t="s">
        <v>1270</v>
      </c>
      <c r="I308" s="75" t="s">
        <v>114</v>
      </c>
      <c r="J308" s="75" t="s">
        <v>1606</v>
      </c>
    </row>
    <row r="309" spans="1:10" ht="57.6">
      <c r="A309" s="108">
        <v>257</v>
      </c>
      <c r="B309" s="75" t="s">
        <v>397</v>
      </c>
      <c r="C309" s="75" t="s">
        <v>1853</v>
      </c>
      <c r="D309" s="75" t="s">
        <v>1203</v>
      </c>
      <c r="E309" s="75" t="s">
        <v>1450</v>
      </c>
      <c r="F309" s="75" t="s">
        <v>1597</v>
      </c>
      <c r="G309" s="75" t="str">
        <f>+IF(ISERROR(VLOOKUP(E309,Tareas_Maestro!A:E,5,0)),"",VLOOKUP(E309,Tareas_Maestro!A:E,5,0))</f>
        <v>Realizar reporte de Aging diario para agentes de BL/KAD y supervisores analizan casos de mayor aging con agentes</v>
      </c>
      <c r="H309" s="77" t="s">
        <v>1270</v>
      </c>
      <c r="I309" s="75" t="s">
        <v>114</v>
      </c>
      <c r="J309" s="75" t="s">
        <v>1606</v>
      </c>
    </row>
    <row r="310" spans="1:10" ht="57.6">
      <c r="A310" s="108">
        <v>258</v>
      </c>
      <c r="B310" s="75" t="s">
        <v>404</v>
      </c>
      <c r="C310" s="75" t="s">
        <v>1854</v>
      </c>
      <c r="D310" s="75" t="s">
        <v>1205</v>
      </c>
      <c r="E310" s="75" t="s">
        <v>857</v>
      </c>
      <c r="F310" s="75" t="s">
        <v>1597</v>
      </c>
      <c r="G310" s="75" t="str">
        <f>+IF(ISERROR(VLOOKUP(E310,Tareas_Maestro!A:E,5,0)),"",VLOOKUP(E310,Tareas_Maestro!A:E,5,0))</f>
        <v>M04.1: Asegurar que los datos recolectados sean relevantes, precisos, utilizados de forma correcta y comprendidos</v>
      </c>
      <c r="H310" s="77" t="s">
        <v>1270</v>
      </c>
      <c r="I310" s="75" t="s">
        <v>99</v>
      </c>
    </row>
    <row r="311" spans="1:10" ht="57.6">
      <c r="A311" s="108">
        <v>259</v>
      </c>
      <c r="B311" s="75" t="s">
        <v>404</v>
      </c>
      <c r="C311" s="75" t="s">
        <v>1855</v>
      </c>
      <c r="D311" s="75" t="s">
        <v>1206</v>
      </c>
      <c r="E311" s="75" t="s">
        <v>857</v>
      </c>
      <c r="F311" s="75" t="s">
        <v>1597</v>
      </c>
      <c r="G311" s="75" t="str">
        <f>+IF(ISERROR(VLOOKUP(E311,Tareas_Maestro!A:E,5,0)),"",VLOOKUP(E311,Tareas_Maestro!A:E,5,0))</f>
        <v>M04.1: Asegurar que los datos recolectados sean relevantes, precisos, utilizados de forma correcta y comprendidos</v>
      </c>
      <c r="H311" s="77" t="s">
        <v>1270</v>
      </c>
      <c r="I311" s="75" t="s">
        <v>99</v>
      </c>
    </row>
    <row r="312" spans="1:10" ht="57.6">
      <c r="A312" s="108">
        <v>260</v>
      </c>
      <c r="B312" s="75" t="s">
        <v>404</v>
      </c>
      <c r="C312" s="75" t="s">
        <v>1856</v>
      </c>
      <c r="D312" s="75" t="s">
        <v>1207</v>
      </c>
      <c r="E312" s="75" t="s">
        <v>857</v>
      </c>
      <c r="F312" s="75" t="s">
        <v>1597</v>
      </c>
      <c r="G312" s="75" t="str">
        <f>+IF(ISERROR(VLOOKUP(E312,Tareas_Maestro!A:E,5,0)),"",VLOOKUP(E312,Tareas_Maestro!A:E,5,0))</f>
        <v>M04.1: Asegurar que los datos recolectados sean relevantes, precisos, utilizados de forma correcta y comprendidos</v>
      </c>
      <c r="H312" s="77" t="s">
        <v>1270</v>
      </c>
      <c r="I312" s="75" t="s">
        <v>99</v>
      </c>
    </row>
    <row r="313" spans="1:10" ht="57.6">
      <c r="A313" s="108">
        <v>261</v>
      </c>
      <c r="B313" s="75" t="s">
        <v>404</v>
      </c>
      <c r="C313" s="75" t="s">
        <v>1857</v>
      </c>
      <c r="D313" s="75" t="s">
        <v>1208</v>
      </c>
      <c r="E313" s="75" t="s">
        <v>857</v>
      </c>
      <c r="F313" s="75" t="s">
        <v>1597</v>
      </c>
      <c r="G313" s="75" t="str">
        <f>+IF(ISERROR(VLOOKUP(E313,Tareas_Maestro!A:E,5,0)),"",VLOOKUP(E313,Tareas_Maestro!A:E,5,0))</f>
        <v>M04.1: Asegurar que los datos recolectados sean relevantes, precisos, utilizados de forma correcta y comprendidos</v>
      </c>
      <c r="H313" s="77" t="s">
        <v>1270</v>
      </c>
      <c r="I313" s="75" t="s">
        <v>99</v>
      </c>
    </row>
    <row r="314" spans="1:10" ht="72">
      <c r="A314" s="108">
        <v>262</v>
      </c>
      <c r="B314" s="75" t="s">
        <v>409</v>
      </c>
      <c r="C314" s="75" t="s">
        <v>1858</v>
      </c>
      <c r="D314" s="75" t="s">
        <v>1210</v>
      </c>
      <c r="E314" s="75" t="s">
        <v>862</v>
      </c>
      <c r="F314" s="75" t="s">
        <v>1597</v>
      </c>
      <c r="G314" s="75" t="str">
        <f>+IF(ISERROR(VLOOKUP(E314,Tareas_Maestro!A:E,5,0)),"",VLOOKUP(E314,Tareas_Maestro!A:E,5,0))</f>
        <v>M05.1: Revisar diariamente resultados de desempeño e implementar acciones correctivas y documentar evidencia de seguimiento</v>
      </c>
      <c r="H314" s="77" t="s">
        <v>1270</v>
      </c>
      <c r="I314" s="75" t="s">
        <v>114</v>
      </c>
      <c r="J314" s="75" t="s">
        <v>1606</v>
      </c>
    </row>
    <row r="315" spans="1:10" ht="72">
      <c r="A315" s="108">
        <v>263</v>
      </c>
      <c r="B315" s="75" t="s">
        <v>409</v>
      </c>
      <c r="C315" s="75" t="s">
        <v>1859</v>
      </c>
      <c r="D315" s="75" t="s">
        <v>1211</v>
      </c>
      <c r="E315" s="75" t="s">
        <v>862</v>
      </c>
      <c r="F315" s="75" t="s">
        <v>1597</v>
      </c>
      <c r="G315" s="75" t="str">
        <f>+IF(ISERROR(VLOOKUP(E315,Tareas_Maestro!A:E,5,0)),"",VLOOKUP(E315,Tareas_Maestro!A:E,5,0))</f>
        <v>M05.1: Revisar diariamente resultados de desempeño e implementar acciones correctivas y documentar evidencia de seguimiento</v>
      </c>
      <c r="H315" s="77" t="s">
        <v>1270</v>
      </c>
      <c r="I315" s="75" t="s">
        <v>114</v>
      </c>
      <c r="J315" s="75" t="s">
        <v>1606</v>
      </c>
    </row>
    <row r="316" spans="1:10" ht="72">
      <c r="A316" s="108">
        <v>264</v>
      </c>
      <c r="B316" s="75" t="s">
        <v>409</v>
      </c>
      <c r="C316" s="75" t="s">
        <v>1860</v>
      </c>
      <c r="D316" s="75" t="s">
        <v>1212</v>
      </c>
      <c r="E316" s="75" t="s">
        <v>862</v>
      </c>
      <c r="F316" s="75" t="s">
        <v>1597</v>
      </c>
      <c r="G316" s="75" t="str">
        <f>+IF(ISERROR(VLOOKUP(E316,Tareas_Maestro!A:E,5,0)),"",VLOOKUP(E316,Tareas_Maestro!A:E,5,0))</f>
        <v>M05.1: Revisar diariamente resultados de desempeño e implementar acciones correctivas y documentar evidencia de seguimiento</v>
      </c>
      <c r="H316" s="77" t="s">
        <v>1270</v>
      </c>
      <c r="I316" s="75" t="s">
        <v>114</v>
      </c>
      <c r="J316" s="75" t="s">
        <v>1606</v>
      </c>
    </row>
    <row r="317" spans="1:10" ht="72">
      <c r="A317" s="108">
        <v>265</v>
      </c>
      <c r="B317" s="75" t="s">
        <v>409</v>
      </c>
      <c r="C317" s="75" t="s">
        <v>1861</v>
      </c>
      <c r="D317" s="75" t="s">
        <v>1213</v>
      </c>
      <c r="E317" s="75" t="s">
        <v>862</v>
      </c>
      <c r="F317" s="75" t="s">
        <v>1597</v>
      </c>
      <c r="G317" s="75" t="str">
        <f>+IF(ISERROR(VLOOKUP(E317,Tareas_Maestro!A:E,5,0)),"",VLOOKUP(E317,Tareas_Maestro!A:E,5,0))</f>
        <v>M05.1: Revisar diariamente resultados de desempeño e implementar acciones correctivas y documentar evidencia de seguimiento</v>
      </c>
      <c r="H317" s="77" t="s">
        <v>1270</v>
      </c>
      <c r="I317" s="75" t="s">
        <v>114</v>
      </c>
      <c r="J317" s="75" t="s">
        <v>1606</v>
      </c>
    </row>
    <row r="318" spans="1:10" ht="72">
      <c r="A318" s="108">
        <v>266</v>
      </c>
      <c r="B318" s="75" t="s">
        <v>409</v>
      </c>
      <c r="C318" s="75" t="s">
        <v>1862</v>
      </c>
      <c r="D318" s="75" t="s">
        <v>1214</v>
      </c>
      <c r="E318" s="75" t="s">
        <v>862</v>
      </c>
      <c r="F318" s="75" t="s">
        <v>1597</v>
      </c>
      <c r="G318" s="75" t="str">
        <f>+IF(ISERROR(VLOOKUP(E318,Tareas_Maestro!A:E,5,0)),"",VLOOKUP(E318,Tareas_Maestro!A:E,5,0))</f>
        <v>M05.1: Revisar diariamente resultados de desempeño e implementar acciones correctivas y documentar evidencia de seguimiento</v>
      </c>
      <c r="H318" s="77" t="s">
        <v>1270</v>
      </c>
      <c r="I318" s="75" t="s">
        <v>114</v>
      </c>
      <c r="J318" s="75" t="s">
        <v>1606</v>
      </c>
    </row>
    <row r="319" spans="1:10" ht="72">
      <c r="A319" s="108">
        <v>267</v>
      </c>
      <c r="B319" s="75" t="s">
        <v>409</v>
      </c>
      <c r="C319" s="75" t="s">
        <v>1863</v>
      </c>
      <c r="D319" s="75" t="s">
        <v>1215</v>
      </c>
      <c r="E319" s="75" t="s">
        <v>862</v>
      </c>
      <c r="F319" s="75" t="s">
        <v>1597</v>
      </c>
      <c r="G319" s="75" t="str">
        <f>+IF(ISERROR(VLOOKUP(E319,Tareas_Maestro!A:E,5,0)),"",VLOOKUP(E319,Tareas_Maestro!A:E,5,0))</f>
        <v>M05.1: Revisar diariamente resultados de desempeño e implementar acciones correctivas y documentar evidencia de seguimiento</v>
      </c>
      <c r="H319" s="77" t="s">
        <v>1270</v>
      </c>
      <c r="I319" s="75" t="s">
        <v>114</v>
      </c>
      <c r="J319" s="75" t="s">
        <v>1606</v>
      </c>
    </row>
    <row r="320" spans="1:10" ht="72">
      <c r="A320" s="108">
        <v>268</v>
      </c>
      <c r="B320" s="75" t="s">
        <v>409</v>
      </c>
      <c r="C320" s="75" t="s">
        <v>1864</v>
      </c>
      <c r="D320" s="75" t="s">
        <v>1216</v>
      </c>
      <c r="E320" s="75" t="s">
        <v>862</v>
      </c>
      <c r="F320" s="75" t="s">
        <v>1597</v>
      </c>
      <c r="G320" s="75" t="str">
        <f>+IF(ISERROR(VLOOKUP(E320,Tareas_Maestro!A:E,5,0)),"",VLOOKUP(E320,Tareas_Maestro!A:E,5,0))</f>
        <v>M05.1: Revisar diariamente resultados de desempeño e implementar acciones correctivas y documentar evidencia de seguimiento</v>
      </c>
      <c r="H320" s="77" t="s">
        <v>1270</v>
      </c>
      <c r="I320" s="75" t="s">
        <v>114</v>
      </c>
      <c r="J320" s="75" t="s">
        <v>1606</v>
      </c>
    </row>
    <row r="321" spans="1:9" ht="57.6">
      <c r="A321" s="108">
        <v>269</v>
      </c>
      <c r="B321" s="75" t="s">
        <v>417</v>
      </c>
      <c r="C321" s="75" t="s">
        <v>1865</v>
      </c>
      <c r="D321" s="75" t="s">
        <v>1218</v>
      </c>
      <c r="E321" s="75" t="s">
        <v>866</v>
      </c>
      <c r="F321" s="75" t="s">
        <v>1597</v>
      </c>
      <c r="G321" s="75" t="str">
        <f>+IF(ISERROR(VLOOKUP(E321,Tareas_Maestro!A:E,5,0)),"",VLOOKUP(E321,Tareas_Maestro!A:E,5,0))</f>
        <v>M06.1: Rastrear, analizar y generar tendencias de resultados de QM</v>
      </c>
      <c r="H321" s="77" t="s">
        <v>1270</v>
      </c>
      <c r="I321" s="75" t="s">
        <v>99</v>
      </c>
    </row>
    <row r="322" spans="1:9" ht="43.15">
      <c r="A322" s="108">
        <v>270</v>
      </c>
      <c r="B322" s="75" t="s">
        <v>417</v>
      </c>
      <c r="C322" s="75" t="s">
        <v>1866</v>
      </c>
      <c r="D322" s="75" t="s">
        <v>1219</v>
      </c>
      <c r="E322" s="75" t="s">
        <v>866</v>
      </c>
      <c r="F322" s="75" t="s">
        <v>1597</v>
      </c>
      <c r="G322" s="75" t="str">
        <f>+IF(ISERROR(VLOOKUP(E322,Tareas_Maestro!A:E,5,0)),"",VLOOKUP(E322,Tareas_Maestro!A:E,5,0))</f>
        <v>M06.1: Rastrear, analizar y generar tendencias de resultados de QM</v>
      </c>
      <c r="H322" s="77" t="s">
        <v>1270</v>
      </c>
      <c r="I322" s="75" t="s">
        <v>99</v>
      </c>
    </row>
    <row r="323" spans="1:9" ht="57.6">
      <c r="A323" s="108">
        <v>271</v>
      </c>
      <c r="B323" s="75" t="s">
        <v>417</v>
      </c>
      <c r="C323" s="75" t="s">
        <v>1867</v>
      </c>
      <c r="D323" s="75" t="s">
        <v>1220</v>
      </c>
      <c r="E323" s="75" t="s">
        <v>866</v>
      </c>
      <c r="F323" s="75" t="s">
        <v>1597</v>
      </c>
      <c r="G323" s="75" t="str">
        <f>+IF(ISERROR(VLOOKUP(E323,Tareas_Maestro!A:E,5,0)),"",VLOOKUP(E323,Tareas_Maestro!A:E,5,0))</f>
        <v>M06.1: Rastrear, analizar y generar tendencias de resultados de QM</v>
      </c>
      <c r="H323" s="77" t="s">
        <v>1270</v>
      </c>
      <c r="I323" s="75" t="s">
        <v>99</v>
      </c>
    </row>
    <row r="324" spans="1:9" ht="72">
      <c r="A324">
        <v>301</v>
      </c>
      <c r="B324" s="75" t="s">
        <v>417</v>
      </c>
      <c r="C324" s="75" t="s">
        <v>1867</v>
      </c>
      <c r="D324" s="75" t="s">
        <v>420</v>
      </c>
      <c r="E324" s="75" t="s">
        <v>1464</v>
      </c>
      <c r="F324" s="75" t="s">
        <v>1607</v>
      </c>
      <c r="G324" s="75" t="str">
        <f>+IF(ISERROR(VLOOKUP(E324,Tareas_Maestro!A:E,5,0)),"",VLOOKUP(E324,Tareas_Maestro!A:E,5,0))</f>
        <v>Determinar capacitaciones, feedback o coaching, charlas en PDs o reuniones de equipo derivadas de oportunidades en los monitoreos de calidad</v>
      </c>
      <c r="H324" s="77" t="s">
        <v>1270</v>
      </c>
      <c r="I324" s="75" t="s">
        <v>99</v>
      </c>
    </row>
    <row r="325" spans="1:9" ht="43.15">
      <c r="A325" s="108">
        <v>272</v>
      </c>
      <c r="B325" s="75" t="s">
        <v>417</v>
      </c>
      <c r="C325" s="75" t="s">
        <v>1868</v>
      </c>
      <c r="D325" s="75" t="s">
        <v>1221</v>
      </c>
      <c r="E325" s="75" t="s">
        <v>866</v>
      </c>
      <c r="F325" s="75" t="s">
        <v>1597</v>
      </c>
      <c r="G325" s="75" t="str">
        <f>+IF(ISERROR(VLOOKUP(E325,Tareas_Maestro!A:E,5,0)),"",VLOOKUP(E325,Tareas_Maestro!A:E,5,0))</f>
        <v>M06.1: Rastrear, analizar y generar tendencias de resultados de QM</v>
      </c>
      <c r="H325" s="77" t="s">
        <v>1270</v>
      </c>
      <c r="I325" s="75" t="s">
        <v>99</v>
      </c>
    </row>
    <row r="326" spans="1:9" ht="57.6">
      <c r="A326">
        <v>302</v>
      </c>
      <c r="B326" s="75" t="s">
        <v>417</v>
      </c>
      <c r="C326" s="75" t="s">
        <v>1868</v>
      </c>
      <c r="D326" s="75" t="s">
        <v>421</v>
      </c>
      <c r="E326" s="75" t="s">
        <v>1465</v>
      </c>
      <c r="F326" s="75" t="s">
        <v>1607</v>
      </c>
      <c r="G326" s="75" t="str">
        <f>+IF(ISERROR(VLOOKUP(E326,Tareas_Maestro!A:E,5,0)),"",VLOOKUP(E326,Tareas_Maestro!A:E,5,0))</f>
        <v>Documentar evidencia de entrenamientos derivadas de oportunidades en los monitoreos de calidad</v>
      </c>
      <c r="H326" s="77" t="s">
        <v>1270</v>
      </c>
      <c r="I326" s="75" t="s">
        <v>99</v>
      </c>
    </row>
    <row r="327" spans="1:9" ht="43.15">
      <c r="A327" s="108">
        <v>273</v>
      </c>
      <c r="B327" s="75" t="s">
        <v>417</v>
      </c>
      <c r="C327" s="75" t="s">
        <v>1869</v>
      </c>
      <c r="D327" s="75" t="s">
        <v>1222</v>
      </c>
      <c r="E327" s="75" t="s">
        <v>866</v>
      </c>
      <c r="F327" s="75" t="s">
        <v>1597</v>
      </c>
      <c r="G327" s="75" t="str">
        <f>+IF(ISERROR(VLOOKUP(E327,Tareas_Maestro!A:E,5,0)),"",VLOOKUP(E327,Tareas_Maestro!A:E,5,0))</f>
        <v>M06.1: Rastrear, analizar y generar tendencias de resultados de QM</v>
      </c>
      <c r="H327" s="77" t="s">
        <v>1270</v>
      </c>
      <c r="I327" s="75" t="s">
        <v>99</v>
      </c>
    </row>
    <row r="328" spans="1:9" ht="57.6">
      <c r="A328" s="108">
        <v>274</v>
      </c>
      <c r="B328" s="75" t="s">
        <v>423</v>
      </c>
      <c r="C328" s="75" t="s">
        <v>1870</v>
      </c>
      <c r="D328" s="75" t="s">
        <v>1224</v>
      </c>
      <c r="E328" s="75" t="s">
        <v>871</v>
      </c>
      <c r="F328" s="75" t="s">
        <v>1597</v>
      </c>
      <c r="G328" s="75" t="str">
        <f>+IF(ISERROR(VLOOKUP(E328,Tareas_Maestro!A:E,5,0)),"",VLOOKUP(E328,Tareas_Maestro!A:E,5,0))</f>
        <v>M07.1: Analizar resultados Programa de Evaluación de Calidad Independiente (Mystery Shopper)</v>
      </c>
      <c r="H328" s="77" t="s">
        <v>1270</v>
      </c>
      <c r="I328" s="75" t="s">
        <v>99</v>
      </c>
    </row>
    <row r="329" spans="1:9" ht="57.6">
      <c r="A329" s="108">
        <v>275</v>
      </c>
      <c r="B329" s="75" t="s">
        <v>423</v>
      </c>
      <c r="C329" s="75" t="s">
        <v>1871</v>
      </c>
      <c r="D329" s="75" t="s">
        <v>1225</v>
      </c>
      <c r="E329" s="75" t="s">
        <v>871</v>
      </c>
      <c r="F329" s="75" t="s">
        <v>1597</v>
      </c>
      <c r="G329" s="75" t="str">
        <f>+IF(ISERROR(VLOOKUP(E329,Tareas_Maestro!A:E,5,0)),"",VLOOKUP(E329,Tareas_Maestro!A:E,5,0))</f>
        <v>M07.1: Analizar resultados Programa de Evaluación de Calidad Independiente (Mystery Shopper)</v>
      </c>
      <c r="H329" s="77" t="s">
        <v>1270</v>
      </c>
      <c r="I329" s="75" t="s">
        <v>99</v>
      </c>
    </row>
    <row r="330" spans="1:9" ht="57.6">
      <c r="A330" s="108">
        <v>276</v>
      </c>
      <c r="B330" s="75" t="s">
        <v>423</v>
      </c>
      <c r="C330" s="75" t="s">
        <v>1872</v>
      </c>
      <c r="D330" s="75" t="s">
        <v>1226</v>
      </c>
      <c r="E330" s="75" t="s">
        <v>871</v>
      </c>
      <c r="F330" s="75" t="s">
        <v>1597</v>
      </c>
      <c r="G330" s="75" t="str">
        <f>+IF(ISERROR(VLOOKUP(E330,Tareas_Maestro!A:E,5,0)),"",VLOOKUP(E330,Tareas_Maestro!A:E,5,0))</f>
        <v>M07.1: Analizar resultados Programa de Evaluación de Calidad Independiente (Mystery Shopper)</v>
      </c>
      <c r="H330" s="77" t="s">
        <v>1270</v>
      </c>
      <c r="I330" s="75" t="s">
        <v>99</v>
      </c>
    </row>
    <row r="331" spans="1:9" ht="57.6">
      <c r="A331">
        <v>341</v>
      </c>
      <c r="B331" s="75" t="s">
        <v>423</v>
      </c>
      <c r="C331" s="75" t="s">
        <v>1872</v>
      </c>
      <c r="D331" s="75" t="s">
        <v>426</v>
      </c>
      <c r="E331" s="75" t="s">
        <v>1470</v>
      </c>
      <c r="F331" s="75" t="s">
        <v>1607</v>
      </c>
      <c r="G331" s="75" t="str">
        <f>+IF(ISERROR(VLOOKUP(E331,Tareas_Maestro!A:E,5,0)),"",VLOOKUP(E331,Tareas_Maestro!A:E,5,0))</f>
        <v>Compartir resultados Mystery Shopper</v>
      </c>
      <c r="H331" s="77" t="s">
        <v>1270</v>
      </c>
      <c r="I331" s="75" t="s">
        <v>99</v>
      </c>
    </row>
    <row r="332" spans="1:9" ht="57.6">
      <c r="A332" s="108">
        <v>277</v>
      </c>
      <c r="B332" s="75" t="s">
        <v>423</v>
      </c>
      <c r="C332" s="75" t="s">
        <v>1873</v>
      </c>
      <c r="D332" s="75" t="s">
        <v>1227</v>
      </c>
      <c r="E332" s="75" t="s">
        <v>871</v>
      </c>
      <c r="F332" s="75" t="s">
        <v>1597</v>
      </c>
      <c r="G332" s="75" t="str">
        <f>+IF(ISERROR(VLOOKUP(E332,Tareas_Maestro!A:E,5,0)),"",VLOOKUP(E332,Tareas_Maestro!A:E,5,0))</f>
        <v>M07.1: Analizar resultados Programa de Evaluación de Calidad Independiente (Mystery Shopper)</v>
      </c>
      <c r="H332" s="77" t="s">
        <v>1270</v>
      </c>
      <c r="I332" s="75" t="s">
        <v>99</v>
      </c>
    </row>
    <row r="333" spans="1:9" ht="43.15">
      <c r="A333" s="108">
        <v>278</v>
      </c>
      <c r="B333" s="75" t="s">
        <v>428</v>
      </c>
      <c r="C333" s="75" t="s">
        <v>1874</v>
      </c>
      <c r="D333" s="75" t="s">
        <v>1229</v>
      </c>
      <c r="E333" s="75" t="s">
        <v>876</v>
      </c>
      <c r="F333" s="75" t="s">
        <v>1597</v>
      </c>
      <c r="G333" s="75" t="str">
        <f>+IF(ISERROR(VLOOKUP(E333,Tareas_Maestro!A:E,5,0)),"",VLOOKUP(E333,Tareas_Maestro!A:E,5,0))</f>
        <v>M08.1: Evaluar y analizar trimestralmente resultados de IMSP vs Monitoreos propios</v>
      </c>
      <c r="H333" s="77" t="s">
        <v>1270</v>
      </c>
      <c r="I333" s="75" t="s">
        <v>99</v>
      </c>
    </row>
    <row r="334" spans="1:9" ht="57.6">
      <c r="A334" s="108">
        <v>279</v>
      </c>
      <c r="B334" s="75" t="s">
        <v>428</v>
      </c>
      <c r="C334" s="75" t="s">
        <v>1875</v>
      </c>
      <c r="D334" s="75" t="s">
        <v>1230</v>
      </c>
      <c r="E334" s="75" t="s">
        <v>876</v>
      </c>
      <c r="F334" s="75" t="s">
        <v>1597</v>
      </c>
      <c r="G334" s="75" t="str">
        <f>+IF(ISERROR(VLOOKUP(E334,Tareas_Maestro!A:E,5,0)),"",VLOOKUP(E334,Tareas_Maestro!A:E,5,0))</f>
        <v>M08.1: Evaluar y analizar trimestralmente resultados de IMSP vs Monitoreos propios</v>
      </c>
      <c r="H334" s="77" t="s">
        <v>1270</v>
      </c>
      <c r="I334" s="75" t="s">
        <v>99</v>
      </c>
    </row>
    <row r="335" spans="1:9" ht="57.6">
      <c r="A335" s="108">
        <v>280</v>
      </c>
      <c r="B335" s="75" t="s">
        <v>428</v>
      </c>
      <c r="C335" s="75" t="s">
        <v>1876</v>
      </c>
      <c r="D335" s="75" t="s">
        <v>1231</v>
      </c>
      <c r="E335" s="75" t="s">
        <v>876</v>
      </c>
      <c r="F335" s="75" t="s">
        <v>1597</v>
      </c>
      <c r="G335" s="75" t="str">
        <f>+IF(ISERROR(VLOOKUP(E335,Tareas_Maestro!A:E,5,0)),"",VLOOKUP(E335,Tareas_Maestro!A:E,5,0))</f>
        <v>M08.1: Evaluar y analizar trimestralmente resultados de IMSP vs Monitoreos propios</v>
      </c>
      <c r="H335" s="77" t="s">
        <v>1270</v>
      </c>
      <c r="I335" s="75" t="s">
        <v>99</v>
      </c>
    </row>
    <row r="336" spans="1:9" ht="43.15">
      <c r="A336" s="108">
        <v>281</v>
      </c>
      <c r="B336" s="75" t="s">
        <v>428</v>
      </c>
      <c r="C336" s="75" t="s">
        <v>1877</v>
      </c>
      <c r="D336" s="75" t="s">
        <v>1232</v>
      </c>
      <c r="E336" s="75" t="s">
        <v>876</v>
      </c>
      <c r="F336" s="75" t="s">
        <v>1597</v>
      </c>
      <c r="G336" s="75" t="str">
        <f>+IF(ISERROR(VLOOKUP(E336,Tareas_Maestro!A:E,5,0)),"",VLOOKUP(E336,Tareas_Maestro!A:E,5,0))</f>
        <v>M08.1: Evaluar y analizar trimestralmente resultados de IMSP vs Monitoreos propios</v>
      </c>
      <c r="H336" s="77" t="s">
        <v>1270</v>
      </c>
      <c r="I336" s="75" t="s">
        <v>99</v>
      </c>
    </row>
    <row r="337" spans="1:9" ht="43.15">
      <c r="A337" s="108">
        <v>282</v>
      </c>
      <c r="B337" s="75" t="s">
        <v>428</v>
      </c>
      <c r="C337" s="75" t="s">
        <v>1878</v>
      </c>
      <c r="D337" s="75" t="s">
        <v>1233</v>
      </c>
      <c r="E337" s="75" t="s">
        <v>876</v>
      </c>
      <c r="F337" s="75" t="s">
        <v>1597</v>
      </c>
      <c r="G337" s="75" t="str">
        <f>+IF(ISERROR(VLOOKUP(E337,Tareas_Maestro!A:E,5,0)),"",VLOOKUP(E337,Tareas_Maestro!A:E,5,0))</f>
        <v>M08.1: Evaluar y analizar trimestralmente resultados de IMSP vs Monitoreos propios</v>
      </c>
      <c r="H337" s="77" t="s">
        <v>1270</v>
      </c>
      <c r="I337" s="75" t="s">
        <v>99</v>
      </c>
    </row>
    <row r="338" spans="1:9" ht="72">
      <c r="A338" s="108">
        <v>283</v>
      </c>
      <c r="B338" s="75" t="s">
        <v>428</v>
      </c>
      <c r="C338" s="75" t="s">
        <v>1879</v>
      </c>
      <c r="D338" s="75" t="s">
        <v>1234</v>
      </c>
      <c r="E338" s="75" t="s">
        <v>876</v>
      </c>
      <c r="F338" s="75" t="s">
        <v>1597</v>
      </c>
      <c r="G338" s="75" t="str">
        <f>+IF(ISERROR(VLOOKUP(E338,Tareas_Maestro!A:E,5,0)),"",VLOOKUP(E338,Tareas_Maestro!A:E,5,0))</f>
        <v>M08.1: Evaluar y analizar trimestralmente resultados de IMSP vs Monitoreos propios</v>
      </c>
      <c r="H338" s="77" t="s">
        <v>1270</v>
      </c>
      <c r="I338" s="75" t="s">
        <v>99</v>
      </c>
    </row>
    <row r="339" spans="1:9" ht="72">
      <c r="A339" s="108">
        <v>284</v>
      </c>
      <c r="B339" s="75" t="s">
        <v>435</v>
      </c>
      <c r="C339" s="75" t="s">
        <v>1880</v>
      </c>
      <c r="D339" s="75" t="s">
        <v>1236</v>
      </c>
      <c r="E339" s="75" t="s">
        <v>882</v>
      </c>
      <c r="F339" s="75" t="s">
        <v>1597</v>
      </c>
      <c r="G339" s="75" t="str">
        <f>+IF(ISERROR(VLOOKUP(E339,Tareas_Maestro!A:E,5,0)),"",VLOOKUP(E339,Tareas_Maestro!A:E,5,0))</f>
        <v>M09.1: Desplegar Wallboards o Tableros de Desempeño accesibles, verificar funcionamiento correcto y que los agentes lo comprendan</v>
      </c>
      <c r="H339" s="77" t="s">
        <v>1270</v>
      </c>
      <c r="I339" s="75" t="s">
        <v>99</v>
      </c>
    </row>
    <row r="340" spans="1:9" ht="72">
      <c r="A340" s="108">
        <v>285</v>
      </c>
      <c r="B340" s="75" t="s">
        <v>435</v>
      </c>
      <c r="C340" s="75" t="s">
        <v>1881</v>
      </c>
      <c r="D340" s="75" t="s">
        <v>1237</v>
      </c>
      <c r="E340" s="75" t="s">
        <v>882</v>
      </c>
      <c r="F340" s="75" t="s">
        <v>1597</v>
      </c>
      <c r="G340" s="75" t="str">
        <f>+IF(ISERROR(VLOOKUP(E340,Tareas_Maestro!A:E,5,0)),"",VLOOKUP(E340,Tareas_Maestro!A:E,5,0))</f>
        <v>M09.1: Desplegar Wallboards o Tableros de Desempeño accesibles, verificar funcionamiento correcto y que los agentes lo comprendan</v>
      </c>
      <c r="H340" s="77" t="s">
        <v>1270</v>
      </c>
      <c r="I340" s="75" t="s">
        <v>99</v>
      </c>
    </row>
    <row r="341" spans="1:9" ht="72">
      <c r="A341" s="108">
        <v>286</v>
      </c>
      <c r="B341" s="75" t="s">
        <v>435</v>
      </c>
      <c r="C341" s="75" t="s">
        <v>1882</v>
      </c>
      <c r="D341" s="75" t="s">
        <v>1238</v>
      </c>
      <c r="E341" s="75" t="s">
        <v>882</v>
      </c>
      <c r="F341" s="75" t="s">
        <v>1597</v>
      </c>
      <c r="G341" s="75" t="str">
        <f>+IF(ISERROR(VLOOKUP(E341,Tareas_Maestro!A:E,5,0)),"",VLOOKUP(E341,Tareas_Maestro!A:E,5,0))</f>
        <v>M09.1: Desplegar Wallboards o Tableros de Desempeño accesibles, verificar funcionamiento correcto y que los agentes lo comprendan</v>
      </c>
      <c r="H341" s="77" t="s">
        <v>1270</v>
      </c>
      <c r="I341" s="75" t="s">
        <v>99</v>
      </c>
    </row>
    <row r="342" spans="1:9" ht="72">
      <c r="A342" s="108">
        <v>287</v>
      </c>
      <c r="B342" s="75" t="s">
        <v>435</v>
      </c>
      <c r="C342" s="75" t="s">
        <v>1883</v>
      </c>
      <c r="D342" s="75" t="s">
        <v>1239</v>
      </c>
      <c r="E342" s="75" t="s">
        <v>882</v>
      </c>
      <c r="F342" s="75" t="s">
        <v>1597</v>
      </c>
      <c r="G342" s="75" t="str">
        <f>+IF(ISERROR(VLOOKUP(E342,Tareas_Maestro!A:E,5,0)),"",VLOOKUP(E342,Tareas_Maestro!A:E,5,0))</f>
        <v>M09.1: Desplegar Wallboards o Tableros de Desempeño accesibles, verificar funcionamiento correcto y que los agentes lo comprendan</v>
      </c>
      <c r="H342" s="77" t="s">
        <v>1270</v>
      </c>
      <c r="I342" s="75" t="s">
        <v>99</v>
      </c>
    </row>
    <row r="343" spans="1:9">
      <c r="G343" s="75" t="str">
        <f>+IF(ISERROR(VLOOKUP(E343,Tareas_Maestro!A:E,5,0)),"",VLOOKUP(E343,Tareas_Maestro!A:E,5,0))</f>
        <v/>
      </c>
    </row>
    <row r="344" spans="1:9">
      <c r="G344" s="75" t="str">
        <f>+IF(ISERROR(VLOOKUP(E344,Tareas_Maestro!A:E,5,0)),"",VLOOKUP(E344,Tareas_Maestro!A:E,5,0))</f>
        <v/>
      </c>
    </row>
    <row r="345" spans="1:9">
      <c r="G345" s="75" t="str">
        <f>+IF(ISERROR(VLOOKUP(E345,Tareas_Maestro!A:E,5,0)),"",VLOOKUP(E345,Tareas_Maestro!A:E,5,0))</f>
        <v/>
      </c>
    </row>
    <row r="346" spans="1:9">
      <c r="G346" s="75" t="str">
        <f>+IF(ISERROR(VLOOKUP(E346,Tareas_Maestro!A:E,5,0)),"",VLOOKUP(E346,Tareas_Maestro!A:E,5,0))</f>
        <v/>
      </c>
    </row>
    <row r="347" spans="1:9">
      <c r="G347" s="75" t="str">
        <f>+IF(ISERROR(VLOOKUP(E347,Tareas_Maestro!A:E,5,0)),"",VLOOKUP(E347,Tareas_Maestro!A:E,5,0))</f>
        <v/>
      </c>
    </row>
    <row r="348" spans="1:9">
      <c r="G348" s="75" t="str">
        <f>+IF(ISERROR(VLOOKUP(E348,Tareas_Maestro!A:E,5,0)),"",VLOOKUP(E348,Tareas_Maestro!A:E,5,0))</f>
        <v/>
      </c>
    </row>
    <row r="349" spans="1:9">
      <c r="G349" s="75" t="str">
        <f>+IF(ISERROR(VLOOKUP(E349,Tareas_Maestro!A:E,5,0)),"",VLOOKUP(E349,Tareas_Maestro!A:E,5,0))</f>
        <v/>
      </c>
    </row>
    <row r="350" spans="1:9">
      <c r="G350" s="75" t="str">
        <f>+IF(ISERROR(VLOOKUP(E350,Tareas_Maestro!A:E,5,0)),"",VLOOKUP(E350,Tareas_Maestro!A:E,5,0))</f>
        <v/>
      </c>
    </row>
    <row r="351" spans="1:9">
      <c r="G351" s="75" t="str">
        <f>+IF(ISERROR(VLOOKUP(E351,Tareas_Maestro!A:E,5,0)),"",VLOOKUP(E351,Tareas_Maestro!A:E,5,0))</f>
        <v/>
      </c>
    </row>
    <row r="352" spans="1:9">
      <c r="G352" s="75" t="str">
        <f>+IF(ISERROR(VLOOKUP(E352,Tareas_Maestro!A:E,5,0)),"",VLOOKUP(E352,Tareas_Maestro!A:E,5,0))</f>
        <v/>
      </c>
    </row>
    <row r="353" spans="7:7">
      <c r="G353" s="75" t="str">
        <f>+IF(ISERROR(VLOOKUP(E353,Tareas_Maestro!A:E,5,0)),"",VLOOKUP(E353,Tareas_Maestro!A:E,5,0))</f>
        <v/>
      </c>
    </row>
    <row r="354" spans="7:7">
      <c r="G354" s="75" t="str">
        <f>+IF(ISERROR(VLOOKUP(E354,Tareas_Maestro!A:E,5,0)),"",VLOOKUP(E354,Tareas_Maestro!A:E,5,0))</f>
        <v/>
      </c>
    </row>
    <row r="355" spans="7:7">
      <c r="G355" s="75" t="str">
        <f>+IF(ISERROR(VLOOKUP(E355,Tareas_Maestro!A:E,5,0)),"",VLOOKUP(E355,Tareas_Maestro!A:E,5,0))</f>
        <v/>
      </c>
    </row>
    <row r="356" spans="7:7">
      <c r="G356" s="75" t="str">
        <f>+IF(ISERROR(VLOOKUP(E356,Tareas_Maestro!A:E,5,0)),"",VLOOKUP(E356,Tareas_Maestro!A:E,5,0))</f>
        <v/>
      </c>
    </row>
    <row r="357" spans="7:7">
      <c r="G357" s="75" t="str">
        <f>+IF(ISERROR(VLOOKUP(E357,Tareas_Maestro!A:E,5,0)),"",VLOOKUP(E357,Tareas_Maestro!A:E,5,0))</f>
        <v/>
      </c>
    </row>
    <row r="358" spans="7:7">
      <c r="G358" s="75" t="str">
        <f>+IF(ISERROR(VLOOKUP(E358,Tareas_Maestro!A:E,5,0)),"",VLOOKUP(E358,Tareas_Maestro!A:E,5,0))</f>
        <v/>
      </c>
    </row>
    <row r="359" spans="7:7">
      <c r="G359" s="75" t="str">
        <f>+IF(ISERROR(VLOOKUP(E359,Tareas_Maestro!A:E,5,0)),"",VLOOKUP(E359,Tareas_Maestro!A:E,5,0))</f>
        <v/>
      </c>
    </row>
    <row r="360" spans="7:7">
      <c r="G360" s="75" t="str">
        <f>+IF(ISERROR(VLOOKUP(E360,Tareas_Maestro!A:E,5,0)),"",VLOOKUP(E360,Tareas_Maestro!A:E,5,0))</f>
        <v/>
      </c>
    </row>
    <row r="361" spans="7:7">
      <c r="G361" s="75" t="str">
        <f>+IF(ISERROR(VLOOKUP(E361,Tareas_Maestro!A:E,5,0)),"",VLOOKUP(E361,Tareas_Maestro!A:E,5,0))</f>
        <v/>
      </c>
    </row>
    <row r="362" spans="7:7">
      <c r="G362" s="75" t="str">
        <f>+IF(ISERROR(VLOOKUP(E362,Tareas_Maestro!A:E,5,0)),"",VLOOKUP(E362,Tareas_Maestro!A:E,5,0))</f>
        <v/>
      </c>
    </row>
    <row r="363" spans="7:7">
      <c r="G363" s="75" t="str">
        <f>+IF(ISERROR(VLOOKUP(E363,Tareas_Maestro!A:E,5,0)),"",VLOOKUP(E363,Tareas_Maestro!A:E,5,0))</f>
        <v/>
      </c>
    </row>
    <row r="364" spans="7:7">
      <c r="G364" s="75" t="str">
        <f>+IF(ISERROR(VLOOKUP(E364,Tareas_Maestro!A:E,5,0)),"",VLOOKUP(E364,Tareas_Maestro!A:E,5,0))</f>
        <v/>
      </c>
    </row>
    <row r="365" spans="7:7">
      <c r="G365" s="75" t="str">
        <f>+IF(ISERROR(VLOOKUP(E365,Tareas_Maestro!A:E,5,0)),"",VLOOKUP(E365,Tareas_Maestro!A:E,5,0))</f>
        <v/>
      </c>
    </row>
    <row r="366" spans="7:7">
      <c r="G366" s="75" t="str">
        <f>+IF(ISERROR(VLOOKUP(E366,Tareas_Maestro!A:E,5,0)),"",VLOOKUP(E366,Tareas_Maestro!A:E,5,0))</f>
        <v/>
      </c>
    </row>
    <row r="367" spans="7:7">
      <c r="G367" s="75" t="str">
        <f>+IF(ISERROR(VLOOKUP(E367,Tareas_Maestro!A:E,5,0)),"",VLOOKUP(E367,Tareas_Maestro!A:E,5,0))</f>
        <v/>
      </c>
    </row>
    <row r="368" spans="7:7">
      <c r="G368" s="75" t="str">
        <f>+IF(ISERROR(VLOOKUP(E368,Tareas_Maestro!A:E,5,0)),"",VLOOKUP(E368,Tareas_Maestro!A:E,5,0))</f>
        <v/>
      </c>
    </row>
    <row r="369" spans="7:7">
      <c r="G369" s="75" t="str">
        <f>+IF(ISERROR(VLOOKUP(E369,Tareas_Maestro!A:E,5,0)),"",VLOOKUP(E369,Tareas_Maestro!A:E,5,0))</f>
        <v/>
      </c>
    </row>
    <row r="370" spans="7:7">
      <c r="G370" s="75" t="str">
        <f>+IF(ISERROR(VLOOKUP(E370,Tareas_Maestro!A:E,5,0)),"",VLOOKUP(E370,Tareas_Maestro!A:E,5,0))</f>
        <v/>
      </c>
    </row>
    <row r="371" spans="7:7">
      <c r="G371" s="75" t="str">
        <f>+IF(ISERROR(VLOOKUP(E371,Tareas_Maestro!A:E,5,0)),"",VLOOKUP(E371,Tareas_Maestro!A:E,5,0))</f>
        <v/>
      </c>
    </row>
    <row r="372" spans="7:7">
      <c r="G372" s="75" t="str">
        <f>+IF(ISERROR(VLOOKUP(E372,Tareas_Maestro!A:E,5,0)),"",VLOOKUP(E372,Tareas_Maestro!A:E,5,0))</f>
        <v/>
      </c>
    </row>
    <row r="373" spans="7:7">
      <c r="G373" s="75" t="str">
        <f>+IF(ISERROR(VLOOKUP(E373,Tareas_Maestro!A:E,5,0)),"",VLOOKUP(E373,Tareas_Maestro!A:E,5,0))</f>
        <v/>
      </c>
    </row>
    <row r="374" spans="7:7">
      <c r="G374" s="75" t="str">
        <f>+IF(ISERROR(VLOOKUP(E374,Tareas_Maestro!A:E,5,0)),"",VLOOKUP(E374,Tareas_Maestro!A:E,5,0))</f>
        <v/>
      </c>
    </row>
    <row r="375" spans="7:7">
      <c r="G375" s="75" t="str">
        <f>+IF(ISERROR(VLOOKUP(E375,Tareas_Maestro!A:E,5,0)),"",VLOOKUP(E375,Tareas_Maestro!A:E,5,0))</f>
        <v/>
      </c>
    </row>
    <row r="376" spans="7:7">
      <c r="G376" s="75" t="str">
        <f>+IF(ISERROR(VLOOKUP(E376,Tareas_Maestro!A:E,5,0)),"",VLOOKUP(E376,Tareas_Maestro!A:E,5,0))</f>
        <v/>
      </c>
    </row>
    <row r="377" spans="7:7">
      <c r="G377" s="75" t="str">
        <f>+IF(ISERROR(VLOOKUP(E377,Tareas_Maestro!A:E,5,0)),"",VLOOKUP(E377,Tareas_Maestro!A:E,5,0))</f>
        <v/>
      </c>
    </row>
    <row r="378" spans="7:7">
      <c r="G378" s="75" t="str">
        <f>+IF(ISERROR(VLOOKUP(E378,Tareas_Maestro!A:E,5,0)),"",VLOOKUP(E378,Tareas_Maestro!A:E,5,0))</f>
        <v/>
      </c>
    </row>
    <row r="379" spans="7:7">
      <c r="G379" s="75" t="str">
        <f>+IF(ISERROR(VLOOKUP(E379,Tareas_Maestro!A:E,5,0)),"",VLOOKUP(E379,Tareas_Maestro!A:E,5,0))</f>
        <v/>
      </c>
    </row>
    <row r="380" spans="7:7">
      <c r="G380" s="75" t="str">
        <f>+IF(ISERROR(VLOOKUP(E380,Tareas_Maestro!A:E,5,0)),"",VLOOKUP(E380,Tareas_Maestro!A:E,5,0))</f>
        <v/>
      </c>
    </row>
    <row r="381" spans="7:7">
      <c r="G381" s="75" t="str">
        <f>+IF(ISERROR(VLOOKUP(E381,Tareas_Maestro!A:E,5,0)),"",VLOOKUP(E381,Tareas_Maestro!A:E,5,0))</f>
        <v/>
      </c>
    </row>
    <row r="382" spans="7:7">
      <c r="G382" s="75" t="str">
        <f>+IF(ISERROR(VLOOKUP(E382,Tareas_Maestro!A:E,5,0)),"",VLOOKUP(E382,Tareas_Maestro!A:E,5,0))</f>
        <v/>
      </c>
    </row>
    <row r="383" spans="7:7">
      <c r="G383" s="75" t="str">
        <f>+IF(ISERROR(VLOOKUP(E383,Tareas_Maestro!A:E,5,0)),"",VLOOKUP(E383,Tareas_Maestro!A:E,5,0))</f>
        <v/>
      </c>
    </row>
    <row r="384" spans="7:7">
      <c r="G384" s="75" t="str">
        <f>+IF(ISERROR(VLOOKUP(E384,Tareas_Maestro!A:E,5,0)),"",VLOOKUP(E384,Tareas_Maestro!A:E,5,0))</f>
        <v/>
      </c>
    </row>
    <row r="385" spans="7:7">
      <c r="G385" s="75" t="str">
        <f>+IF(ISERROR(VLOOKUP(E385,Tareas_Maestro!A:E,5,0)),"",VLOOKUP(E385,Tareas_Maestro!A:E,5,0))</f>
        <v/>
      </c>
    </row>
    <row r="386" spans="7:7">
      <c r="G386" s="75" t="str">
        <f>+IF(ISERROR(VLOOKUP(E386,Tareas_Maestro!A:E,5,0)),"",VLOOKUP(E386,Tareas_Maestro!A:E,5,0))</f>
        <v/>
      </c>
    </row>
    <row r="387" spans="7:7">
      <c r="G387" s="75" t="str">
        <f>+IF(ISERROR(VLOOKUP(E387,Tareas_Maestro!A:E,5,0)),"",VLOOKUP(E387,Tareas_Maestro!A:E,5,0))</f>
        <v/>
      </c>
    </row>
    <row r="388" spans="7:7">
      <c r="G388" s="75" t="str">
        <f>+IF(ISERROR(VLOOKUP(E388,Tareas_Maestro!A:E,5,0)),"",VLOOKUP(E388,Tareas_Maestro!A:E,5,0))</f>
        <v/>
      </c>
    </row>
    <row r="389" spans="7:7">
      <c r="G389" s="75" t="str">
        <f>+IF(ISERROR(VLOOKUP(E389,Tareas_Maestro!A:E,5,0)),"",VLOOKUP(E389,Tareas_Maestro!A:E,5,0))</f>
        <v/>
      </c>
    </row>
    <row r="390" spans="7:7">
      <c r="G390" s="75" t="str">
        <f>+IF(ISERROR(VLOOKUP(E390,Tareas_Maestro!A:E,5,0)),"",VLOOKUP(E390,Tareas_Maestro!A:E,5,0))</f>
        <v/>
      </c>
    </row>
    <row r="391" spans="7:7">
      <c r="G391" s="75" t="str">
        <f>+IF(ISERROR(VLOOKUP(E391,Tareas_Maestro!A:E,5,0)),"",VLOOKUP(E391,Tareas_Maestro!A:E,5,0))</f>
        <v/>
      </c>
    </row>
    <row r="392" spans="7:7">
      <c r="G392" s="75" t="str">
        <f>+IF(ISERROR(VLOOKUP(E392,Tareas_Maestro!A:E,5,0)),"",VLOOKUP(E392,Tareas_Maestro!A:E,5,0))</f>
        <v/>
      </c>
    </row>
    <row r="393" spans="7:7">
      <c r="G393" s="75" t="str">
        <f>+IF(ISERROR(VLOOKUP(E393,Tareas_Maestro!A:E,5,0)),"",VLOOKUP(E393,Tareas_Maestro!A:E,5,0))</f>
        <v/>
      </c>
    </row>
    <row r="394" spans="7:7">
      <c r="G394" s="75" t="str">
        <f>+IF(ISERROR(VLOOKUP(E394,Tareas_Maestro!A:E,5,0)),"",VLOOKUP(E394,Tareas_Maestro!A:E,5,0))</f>
        <v/>
      </c>
    </row>
    <row r="395" spans="7:7">
      <c r="G395" s="75" t="str">
        <f>+IF(ISERROR(VLOOKUP(E395,Tareas_Maestro!A:E,5,0)),"",VLOOKUP(E395,Tareas_Maestro!A:E,5,0))</f>
        <v/>
      </c>
    </row>
    <row r="396" spans="7:7">
      <c r="G396" s="75" t="str">
        <f>+IF(ISERROR(VLOOKUP(E396,Tareas_Maestro!A:E,5,0)),"",VLOOKUP(E396,Tareas_Maestro!A:E,5,0))</f>
        <v/>
      </c>
    </row>
    <row r="397" spans="7:7">
      <c r="G397" s="75" t="str">
        <f>+IF(ISERROR(VLOOKUP(E397,Tareas_Maestro!A:E,5,0)),"",VLOOKUP(E397,Tareas_Maestro!A:E,5,0))</f>
        <v/>
      </c>
    </row>
    <row r="398" spans="7:7">
      <c r="G398" s="75" t="str">
        <f>+IF(ISERROR(VLOOKUP(E398,Tareas_Maestro!A:E,5,0)),"",VLOOKUP(E398,Tareas_Maestro!A:E,5,0))</f>
        <v/>
      </c>
    </row>
    <row r="399" spans="7:7">
      <c r="G399" s="75" t="str">
        <f>+IF(ISERROR(VLOOKUP(E399,Tareas_Maestro!A:E,5,0)),"",VLOOKUP(E399,Tareas_Maestro!A:E,5,0))</f>
        <v/>
      </c>
    </row>
    <row r="400" spans="7:7">
      <c r="G400" s="75" t="str">
        <f>+IF(ISERROR(VLOOKUP(E400,Tareas_Maestro!A:E,5,0)),"",VLOOKUP(E400,Tareas_Maestro!A:E,5,0))</f>
        <v/>
      </c>
    </row>
    <row r="401" spans="7:7">
      <c r="G401" s="75" t="str">
        <f>+IF(ISERROR(VLOOKUP(E401,Tareas_Maestro!A:E,5,0)),"",VLOOKUP(E401,Tareas_Maestro!A:E,5,0))</f>
        <v/>
      </c>
    </row>
    <row r="402" spans="7:7">
      <c r="G402" s="75" t="str">
        <f>+IF(ISERROR(VLOOKUP(E402,Tareas_Maestro!A:E,5,0)),"",VLOOKUP(E402,Tareas_Maestro!A:E,5,0))</f>
        <v/>
      </c>
    </row>
    <row r="403" spans="7:7">
      <c r="G403" s="75" t="str">
        <f>+IF(ISERROR(VLOOKUP(E403,Tareas_Maestro!A:E,5,0)),"",VLOOKUP(E403,Tareas_Maestro!A:E,5,0))</f>
        <v/>
      </c>
    </row>
    <row r="404" spans="7:7">
      <c r="G404" s="75" t="str">
        <f>+IF(ISERROR(VLOOKUP(E404,Tareas_Maestro!A:E,5,0)),"",VLOOKUP(E404,Tareas_Maestro!A:E,5,0))</f>
        <v/>
      </c>
    </row>
    <row r="405" spans="7:7">
      <c r="G405" s="75" t="str">
        <f>+IF(ISERROR(VLOOKUP(E405,Tareas_Maestro!A:E,5,0)),"",VLOOKUP(E405,Tareas_Maestro!A:E,5,0))</f>
        <v/>
      </c>
    </row>
    <row r="406" spans="7:7">
      <c r="G406" s="75" t="str">
        <f>+IF(ISERROR(VLOOKUP(E406,Tareas_Maestro!A:E,5,0)),"",VLOOKUP(E406,Tareas_Maestro!A:E,5,0))</f>
        <v/>
      </c>
    </row>
    <row r="407" spans="7:7">
      <c r="G407" s="75" t="str">
        <f>+IF(ISERROR(VLOOKUP(E407,Tareas_Maestro!A:E,5,0)),"",VLOOKUP(E407,Tareas_Maestro!A:E,5,0))</f>
        <v/>
      </c>
    </row>
    <row r="408" spans="7:7">
      <c r="G408" s="75" t="str">
        <f>+IF(ISERROR(VLOOKUP(E408,Tareas_Maestro!A:E,5,0)),"",VLOOKUP(E408,Tareas_Maestro!A:E,5,0))</f>
        <v/>
      </c>
    </row>
    <row r="409" spans="7:7">
      <c r="G409" s="75" t="str">
        <f>+IF(ISERROR(VLOOKUP(E409,Tareas_Maestro!A:E,5,0)),"",VLOOKUP(E409,Tareas_Maestro!A:E,5,0))</f>
        <v/>
      </c>
    </row>
    <row r="410" spans="7:7">
      <c r="G410" s="75" t="str">
        <f>+IF(ISERROR(VLOOKUP(E410,Tareas_Maestro!A:E,5,0)),"",VLOOKUP(E410,Tareas_Maestro!A:E,5,0))</f>
        <v/>
      </c>
    </row>
    <row r="411" spans="7:7">
      <c r="G411" s="75" t="str">
        <f>+IF(ISERROR(VLOOKUP(E411,Tareas_Maestro!A:E,5,0)),"",VLOOKUP(E411,Tareas_Maestro!A:E,5,0))</f>
        <v/>
      </c>
    </row>
    <row r="412" spans="7:7">
      <c r="G412" s="75" t="str">
        <f>+IF(ISERROR(VLOOKUP(E412,Tareas_Maestro!A:E,5,0)),"",VLOOKUP(E412,Tareas_Maestro!A:E,5,0))</f>
        <v/>
      </c>
    </row>
    <row r="413" spans="7:7">
      <c r="G413" s="75" t="str">
        <f>+IF(ISERROR(VLOOKUP(E413,Tareas_Maestro!A:E,5,0)),"",VLOOKUP(E413,Tareas_Maestro!A:E,5,0))</f>
        <v/>
      </c>
    </row>
    <row r="414" spans="7:7">
      <c r="G414" s="75" t="str">
        <f>+IF(ISERROR(VLOOKUP(E414,Tareas_Maestro!A:E,5,0)),"",VLOOKUP(E414,Tareas_Maestro!A:E,5,0))</f>
        <v/>
      </c>
    </row>
    <row r="415" spans="7:7">
      <c r="G415" s="75" t="str">
        <f>+IF(ISERROR(VLOOKUP(E415,Tareas_Maestro!A:E,5,0)),"",VLOOKUP(E415,Tareas_Maestro!A:E,5,0))</f>
        <v/>
      </c>
    </row>
    <row r="416" spans="7:7">
      <c r="G416" s="75" t="str">
        <f>+IF(ISERROR(VLOOKUP(E416,Tareas_Maestro!A:E,5,0)),"",VLOOKUP(E416,Tareas_Maestro!A:E,5,0))</f>
        <v/>
      </c>
    </row>
    <row r="417" spans="7:7">
      <c r="G417" s="75" t="str">
        <f>+IF(ISERROR(VLOOKUP(E417,Tareas_Maestro!A:E,5,0)),"",VLOOKUP(E417,Tareas_Maestro!A:E,5,0))</f>
        <v/>
      </c>
    </row>
    <row r="418" spans="7:7">
      <c r="G418" s="75" t="str">
        <f>+IF(ISERROR(VLOOKUP(E418,Tareas_Maestro!A:E,5,0)),"",VLOOKUP(E418,Tareas_Maestro!A:E,5,0))</f>
        <v/>
      </c>
    </row>
    <row r="419" spans="7:7">
      <c r="G419" s="75" t="str">
        <f>+IF(ISERROR(VLOOKUP(E419,Tareas_Maestro!A:E,5,0)),"",VLOOKUP(E419,Tareas_Maestro!A:E,5,0))</f>
        <v/>
      </c>
    </row>
    <row r="420" spans="7:7">
      <c r="G420" s="75" t="str">
        <f>+IF(ISERROR(VLOOKUP(E420,Tareas_Maestro!A:E,5,0)),"",VLOOKUP(E420,Tareas_Maestro!A:E,5,0))</f>
        <v/>
      </c>
    </row>
    <row r="421" spans="7:7">
      <c r="G421" s="75" t="str">
        <f>+IF(ISERROR(VLOOKUP(E421,Tareas_Maestro!A:E,5,0)),"",VLOOKUP(E421,Tareas_Maestro!A:E,5,0))</f>
        <v/>
      </c>
    </row>
    <row r="422" spans="7:7">
      <c r="G422" s="75" t="str">
        <f>+IF(ISERROR(VLOOKUP(E422,Tareas_Maestro!A:E,5,0)),"",VLOOKUP(E422,Tareas_Maestro!A:E,5,0))</f>
        <v/>
      </c>
    </row>
    <row r="423" spans="7:7">
      <c r="G423" s="75" t="str">
        <f>+IF(ISERROR(VLOOKUP(E423,Tareas_Maestro!A:E,5,0)),"",VLOOKUP(E423,Tareas_Maestro!A:E,5,0))</f>
        <v/>
      </c>
    </row>
    <row r="424" spans="7:7">
      <c r="G424" s="75" t="str">
        <f>+IF(ISERROR(VLOOKUP(E424,Tareas_Maestro!A:E,5,0)),"",VLOOKUP(E424,Tareas_Maestro!A:E,5,0))</f>
        <v/>
      </c>
    </row>
    <row r="425" spans="7:7">
      <c r="G425" s="75" t="str">
        <f>+IF(ISERROR(VLOOKUP(E425,Tareas_Maestro!A:E,5,0)),"",VLOOKUP(E425,Tareas_Maestro!A:E,5,0))</f>
        <v/>
      </c>
    </row>
    <row r="426" spans="7:7">
      <c r="G426" s="75" t="str">
        <f>+IF(ISERROR(VLOOKUP(E426,Tareas_Maestro!A:E,5,0)),"",VLOOKUP(E426,Tareas_Maestro!A:E,5,0))</f>
        <v/>
      </c>
    </row>
    <row r="427" spans="7:7">
      <c r="G427" s="75" t="str">
        <f>+IF(ISERROR(VLOOKUP(E427,Tareas_Maestro!A:E,5,0)),"",VLOOKUP(E427,Tareas_Maestro!A:E,5,0))</f>
        <v/>
      </c>
    </row>
    <row r="428" spans="7:7">
      <c r="G428" s="75" t="str">
        <f>+IF(ISERROR(VLOOKUP(E428,Tareas_Maestro!A:E,5,0)),"",VLOOKUP(E428,Tareas_Maestro!A:E,5,0))</f>
        <v/>
      </c>
    </row>
    <row r="429" spans="7:7">
      <c r="G429" s="75" t="str">
        <f>+IF(ISERROR(VLOOKUP(E429,Tareas_Maestro!A:E,5,0)),"",VLOOKUP(E429,Tareas_Maestro!A:E,5,0))</f>
        <v/>
      </c>
    </row>
    <row r="430" spans="7:7">
      <c r="G430" s="75" t="str">
        <f>+IF(ISERROR(VLOOKUP(E430,Tareas_Maestro!A:E,5,0)),"",VLOOKUP(E430,Tareas_Maestro!A:E,5,0))</f>
        <v/>
      </c>
    </row>
    <row r="431" spans="7:7">
      <c r="G431" s="75" t="str">
        <f>+IF(ISERROR(VLOOKUP(E431,Tareas_Maestro!A:E,5,0)),"",VLOOKUP(E431,Tareas_Maestro!A:E,5,0))</f>
        <v/>
      </c>
    </row>
    <row r="432" spans="7:7">
      <c r="G432" s="75" t="str">
        <f>+IF(ISERROR(VLOOKUP(E432,Tareas_Maestro!A:E,5,0)),"",VLOOKUP(E432,Tareas_Maestro!A:E,5,0))</f>
        <v/>
      </c>
    </row>
    <row r="433" spans="7:7">
      <c r="G433" s="75" t="str">
        <f>+IF(ISERROR(VLOOKUP(E433,Tareas_Maestro!A:E,5,0)),"",VLOOKUP(E433,Tareas_Maestro!A:E,5,0))</f>
        <v/>
      </c>
    </row>
    <row r="434" spans="7:7">
      <c r="G434" s="75" t="str">
        <f>+IF(ISERROR(VLOOKUP(E434,Tareas_Maestro!A:E,5,0)),"",VLOOKUP(E434,Tareas_Maestro!A:E,5,0))</f>
        <v/>
      </c>
    </row>
    <row r="435" spans="7:7">
      <c r="G435" s="75" t="str">
        <f>+IF(ISERROR(VLOOKUP(E435,Tareas_Maestro!A:E,5,0)),"",VLOOKUP(E435,Tareas_Maestro!A:E,5,0))</f>
        <v/>
      </c>
    </row>
    <row r="436" spans="7:7">
      <c r="G436" s="75" t="str">
        <f>+IF(ISERROR(VLOOKUP(E436,Tareas_Maestro!A:E,5,0)),"",VLOOKUP(E436,Tareas_Maestro!A:E,5,0))</f>
        <v/>
      </c>
    </row>
    <row r="437" spans="7:7">
      <c r="G437" s="75" t="str">
        <f>+IF(ISERROR(VLOOKUP(E437,Tareas_Maestro!A:E,5,0)),"",VLOOKUP(E437,Tareas_Maestro!A:E,5,0))</f>
        <v/>
      </c>
    </row>
    <row r="438" spans="7:7">
      <c r="G438" s="75" t="str">
        <f>+IF(ISERROR(VLOOKUP(E438,Tareas_Maestro!A:E,5,0)),"",VLOOKUP(E438,Tareas_Maestro!A:E,5,0))</f>
        <v/>
      </c>
    </row>
    <row r="439" spans="7:7">
      <c r="G439" s="75" t="str">
        <f>+IF(ISERROR(VLOOKUP(E439,Tareas_Maestro!A:E,5,0)),"",VLOOKUP(E439,Tareas_Maestro!A:E,5,0))</f>
        <v/>
      </c>
    </row>
    <row r="440" spans="7:7">
      <c r="G440" s="75" t="str">
        <f>+IF(ISERROR(VLOOKUP(E440,Tareas_Maestro!A:E,5,0)),"",VLOOKUP(E440,Tareas_Maestro!A:E,5,0))</f>
        <v/>
      </c>
    </row>
    <row r="441" spans="7:7">
      <c r="G441" s="75" t="str">
        <f>+IF(ISERROR(VLOOKUP(E441,Tareas_Maestro!A:E,5,0)),"",VLOOKUP(E441,Tareas_Maestro!A:E,5,0))</f>
        <v/>
      </c>
    </row>
    <row r="442" spans="7:7">
      <c r="G442" s="75" t="str">
        <f>+IF(ISERROR(VLOOKUP(E442,Tareas_Maestro!A:E,5,0)),"",VLOOKUP(E442,Tareas_Maestro!A:E,5,0))</f>
        <v/>
      </c>
    </row>
    <row r="443" spans="7:7">
      <c r="G443" s="75" t="str">
        <f>+IF(ISERROR(VLOOKUP(E443,Tareas_Maestro!A:E,5,0)),"",VLOOKUP(E443,Tareas_Maestro!A:E,5,0))</f>
        <v/>
      </c>
    </row>
    <row r="444" spans="7:7">
      <c r="G444" s="75" t="str">
        <f>+IF(ISERROR(VLOOKUP(E444,Tareas_Maestro!A:E,5,0)),"",VLOOKUP(E444,Tareas_Maestro!A:E,5,0))</f>
        <v/>
      </c>
    </row>
    <row r="445" spans="7:7">
      <c r="G445" s="75" t="str">
        <f>+IF(ISERROR(VLOOKUP(E445,Tareas_Maestro!A:E,5,0)),"",VLOOKUP(E445,Tareas_Maestro!A:E,5,0))</f>
        <v/>
      </c>
    </row>
    <row r="446" spans="7:7">
      <c r="G446" s="75" t="str">
        <f>+IF(ISERROR(VLOOKUP(E446,Tareas_Maestro!A:E,5,0)),"",VLOOKUP(E446,Tareas_Maestro!A:E,5,0))</f>
        <v/>
      </c>
    </row>
    <row r="447" spans="7:7">
      <c r="G447" s="75" t="str">
        <f>+IF(ISERROR(VLOOKUP(E447,Tareas_Maestro!A:E,5,0)),"",VLOOKUP(E447,Tareas_Maestro!A:E,5,0))</f>
        <v/>
      </c>
    </row>
    <row r="448" spans="7:7">
      <c r="G448" s="75" t="str">
        <f>+IF(ISERROR(VLOOKUP(E448,Tareas_Maestro!A:E,5,0)),"",VLOOKUP(E448,Tareas_Maestro!A:E,5,0))</f>
        <v/>
      </c>
    </row>
    <row r="449" spans="7:7">
      <c r="G449" s="75" t="str">
        <f>+IF(ISERROR(VLOOKUP(E449,Tareas_Maestro!A:E,5,0)),"",VLOOKUP(E449,Tareas_Maestro!A:E,5,0))</f>
        <v/>
      </c>
    </row>
    <row r="450" spans="7:7">
      <c r="G450" s="75" t="str">
        <f>+IF(ISERROR(VLOOKUP(E450,Tareas_Maestro!A:E,5,0)),"",VLOOKUP(E450,Tareas_Maestro!A:E,5,0))</f>
        <v/>
      </c>
    </row>
    <row r="451" spans="7:7">
      <c r="G451" s="75" t="str">
        <f>+IF(ISERROR(VLOOKUP(E451,Tareas_Maestro!A:E,5,0)),"",VLOOKUP(E451,Tareas_Maestro!A:E,5,0))</f>
        <v/>
      </c>
    </row>
    <row r="452" spans="7:7">
      <c r="G452" s="75" t="str">
        <f>+IF(ISERROR(VLOOKUP(E452,Tareas_Maestro!A:E,5,0)),"",VLOOKUP(E452,Tareas_Maestro!A:E,5,0))</f>
        <v/>
      </c>
    </row>
    <row r="453" spans="7:7">
      <c r="G453" s="75" t="str">
        <f>+IF(ISERROR(VLOOKUP(E453,Tareas_Maestro!A:E,5,0)),"",VLOOKUP(E453,Tareas_Maestro!A:E,5,0))</f>
        <v/>
      </c>
    </row>
    <row r="454" spans="7:7">
      <c r="G454" s="75" t="str">
        <f>+IF(ISERROR(VLOOKUP(E454,Tareas_Maestro!A:E,5,0)),"",VLOOKUP(E454,Tareas_Maestro!A:E,5,0))</f>
        <v/>
      </c>
    </row>
    <row r="455" spans="7:7">
      <c r="G455" s="75" t="str">
        <f>+IF(ISERROR(VLOOKUP(E455,Tareas_Maestro!A:E,5,0)),"",VLOOKUP(E455,Tareas_Maestro!A:E,5,0))</f>
        <v/>
      </c>
    </row>
    <row r="456" spans="7:7">
      <c r="G456" s="75" t="str">
        <f>+IF(ISERROR(VLOOKUP(E456,Tareas_Maestro!A:E,5,0)),"",VLOOKUP(E456,Tareas_Maestro!A:E,5,0))</f>
        <v/>
      </c>
    </row>
    <row r="457" spans="7:7">
      <c r="G457" s="75" t="str">
        <f>+IF(ISERROR(VLOOKUP(E457,Tareas_Maestro!A:E,5,0)),"",VLOOKUP(E457,Tareas_Maestro!A:E,5,0))</f>
        <v/>
      </c>
    </row>
    <row r="458" spans="7:7">
      <c r="G458" s="75" t="str">
        <f>+IF(ISERROR(VLOOKUP(E458,Tareas_Maestro!A:E,5,0)),"",VLOOKUP(E458,Tareas_Maestro!A:E,5,0))</f>
        <v/>
      </c>
    </row>
    <row r="459" spans="7:7">
      <c r="G459" s="75" t="str">
        <f>+IF(ISERROR(VLOOKUP(E459,Tareas_Maestro!A:E,5,0)),"",VLOOKUP(E459,Tareas_Maestro!A:E,5,0))</f>
        <v/>
      </c>
    </row>
    <row r="460" spans="7:7">
      <c r="G460" s="75" t="str">
        <f>+IF(ISERROR(VLOOKUP(E460,Tareas_Maestro!A:E,5,0)),"",VLOOKUP(E460,Tareas_Maestro!A:E,5,0))</f>
        <v/>
      </c>
    </row>
    <row r="461" spans="7:7">
      <c r="G461" s="75" t="str">
        <f>+IF(ISERROR(VLOOKUP(E461,Tareas_Maestro!A:E,5,0)),"",VLOOKUP(E461,Tareas_Maestro!A:E,5,0))</f>
        <v/>
      </c>
    </row>
    <row r="462" spans="7:7">
      <c r="G462" s="75" t="str">
        <f>+IF(ISERROR(VLOOKUP(E462,Tareas_Maestro!A:E,5,0)),"",VLOOKUP(E462,Tareas_Maestro!A:E,5,0))</f>
        <v/>
      </c>
    </row>
    <row r="463" spans="7:7">
      <c r="G463" s="75" t="str">
        <f>+IF(ISERROR(VLOOKUP(E463,Tareas_Maestro!A:E,5,0)),"",VLOOKUP(E463,Tareas_Maestro!A:E,5,0))</f>
        <v/>
      </c>
    </row>
    <row r="464" spans="7:7">
      <c r="G464" s="75" t="str">
        <f>+IF(ISERROR(VLOOKUP(E464,Tareas_Maestro!A:E,5,0)),"",VLOOKUP(E464,Tareas_Maestro!A:E,5,0))</f>
        <v/>
      </c>
    </row>
    <row r="465" spans="7:7">
      <c r="G465" s="75" t="str">
        <f>+IF(ISERROR(VLOOKUP(E465,Tareas_Maestro!A:E,5,0)),"",VLOOKUP(E465,Tareas_Maestro!A:E,5,0))</f>
        <v/>
      </c>
    </row>
    <row r="466" spans="7:7">
      <c r="G466" s="75" t="str">
        <f>+IF(ISERROR(VLOOKUP(E466,Tareas_Maestro!A:E,5,0)),"",VLOOKUP(E466,Tareas_Maestro!A:E,5,0))</f>
        <v/>
      </c>
    </row>
    <row r="467" spans="7:7">
      <c r="G467" s="75" t="str">
        <f>+IF(ISERROR(VLOOKUP(E467,Tareas_Maestro!A:E,5,0)),"",VLOOKUP(E467,Tareas_Maestro!A:E,5,0))</f>
        <v/>
      </c>
    </row>
    <row r="468" spans="7:7">
      <c r="G468" s="75" t="str">
        <f>+IF(ISERROR(VLOOKUP(E468,Tareas_Maestro!A:E,5,0)),"",VLOOKUP(E468,Tareas_Maestro!A:E,5,0))</f>
        <v/>
      </c>
    </row>
    <row r="469" spans="7:7">
      <c r="G469" s="75" t="str">
        <f>+IF(ISERROR(VLOOKUP(E469,Tareas_Maestro!A:E,5,0)),"",VLOOKUP(E469,Tareas_Maestro!A:E,5,0))</f>
        <v/>
      </c>
    </row>
    <row r="470" spans="7:7">
      <c r="G470" s="75" t="str">
        <f>+IF(ISERROR(VLOOKUP(E470,Tareas_Maestro!A:E,5,0)),"",VLOOKUP(E470,Tareas_Maestro!A:E,5,0))</f>
        <v/>
      </c>
    </row>
    <row r="471" spans="7:7">
      <c r="G471" s="75" t="str">
        <f>+IF(ISERROR(VLOOKUP(E471,Tareas_Maestro!A:E,5,0)),"",VLOOKUP(E471,Tareas_Maestro!A:E,5,0))</f>
        <v/>
      </c>
    </row>
    <row r="472" spans="7:7">
      <c r="G472" s="75" t="str">
        <f>+IF(ISERROR(VLOOKUP(E472,Tareas_Maestro!A:E,5,0)),"",VLOOKUP(E472,Tareas_Maestro!A:E,5,0))</f>
        <v/>
      </c>
    </row>
    <row r="473" spans="7:7">
      <c r="G473" s="75" t="str">
        <f>+IF(ISERROR(VLOOKUP(E473,Tareas_Maestro!A:E,5,0)),"",VLOOKUP(E473,Tareas_Maestro!A:E,5,0))</f>
        <v/>
      </c>
    </row>
    <row r="474" spans="7:7">
      <c r="G474" s="75" t="str">
        <f>+IF(ISERROR(VLOOKUP(E474,Tareas_Maestro!A:E,5,0)),"",VLOOKUP(E474,Tareas_Maestro!A:E,5,0))</f>
        <v/>
      </c>
    </row>
    <row r="475" spans="7:7">
      <c r="G475" s="75" t="str">
        <f>+IF(ISERROR(VLOOKUP(E475,Tareas_Maestro!A:E,5,0)),"",VLOOKUP(E475,Tareas_Maestro!A:E,5,0))</f>
        <v/>
      </c>
    </row>
    <row r="476" spans="7:7">
      <c r="G476" s="75" t="str">
        <f>+IF(ISERROR(VLOOKUP(E476,Tareas_Maestro!A:E,5,0)),"",VLOOKUP(E476,Tareas_Maestro!A:E,5,0))</f>
        <v/>
      </c>
    </row>
    <row r="477" spans="7:7">
      <c r="G477" s="75" t="str">
        <f>+IF(ISERROR(VLOOKUP(E477,Tareas_Maestro!A:E,5,0)),"",VLOOKUP(E477,Tareas_Maestro!A:E,5,0))</f>
        <v/>
      </c>
    </row>
    <row r="478" spans="7:7">
      <c r="G478" s="75" t="str">
        <f>+IF(ISERROR(VLOOKUP(E478,Tareas_Maestro!A:E,5,0)),"",VLOOKUP(E478,Tareas_Maestro!A:E,5,0))</f>
        <v/>
      </c>
    </row>
    <row r="479" spans="7:7">
      <c r="G479" s="75" t="str">
        <f>+IF(ISERROR(VLOOKUP(E479,Tareas_Maestro!A:E,5,0)),"",VLOOKUP(E479,Tareas_Maestro!A:E,5,0))</f>
        <v/>
      </c>
    </row>
    <row r="480" spans="7:7">
      <c r="G480" s="75" t="str">
        <f>+IF(ISERROR(VLOOKUP(E480,Tareas_Maestro!A:E,5,0)),"",VLOOKUP(E480,Tareas_Maestro!A:E,5,0))</f>
        <v/>
      </c>
    </row>
    <row r="481" spans="7:7">
      <c r="G481" s="75" t="str">
        <f>+IF(ISERROR(VLOOKUP(E481,Tareas_Maestro!A:E,5,0)),"",VLOOKUP(E481,Tareas_Maestro!A:E,5,0))</f>
        <v/>
      </c>
    </row>
    <row r="482" spans="7:7">
      <c r="G482" s="75" t="str">
        <f>+IF(ISERROR(VLOOKUP(E482,Tareas_Maestro!A:E,5,0)),"",VLOOKUP(E482,Tareas_Maestro!A:E,5,0))</f>
        <v/>
      </c>
    </row>
    <row r="483" spans="7:7">
      <c r="G483" s="75" t="str">
        <f>+IF(ISERROR(VLOOKUP(E483,Tareas_Maestro!A:E,5,0)),"",VLOOKUP(E483,Tareas_Maestro!A:E,5,0))</f>
        <v/>
      </c>
    </row>
    <row r="484" spans="7:7">
      <c r="G484" s="75" t="str">
        <f>+IF(ISERROR(VLOOKUP(E484,Tareas_Maestro!A:E,5,0)),"",VLOOKUP(E484,Tareas_Maestro!A:E,5,0))</f>
        <v/>
      </c>
    </row>
    <row r="485" spans="7:7">
      <c r="G485" s="75" t="str">
        <f>+IF(ISERROR(VLOOKUP(E485,Tareas_Maestro!A:E,5,0)),"",VLOOKUP(E485,Tareas_Maestro!A:E,5,0))</f>
        <v/>
      </c>
    </row>
    <row r="486" spans="7:7">
      <c r="G486" s="75" t="str">
        <f>+IF(ISERROR(VLOOKUP(E486,Tareas_Maestro!A:E,5,0)),"",VLOOKUP(E486,Tareas_Maestro!A:E,5,0))</f>
        <v/>
      </c>
    </row>
    <row r="487" spans="7:7">
      <c r="G487" s="75" t="str">
        <f>+IF(ISERROR(VLOOKUP(E487,Tareas_Maestro!A:E,5,0)),"",VLOOKUP(E487,Tareas_Maestro!A:E,5,0))</f>
        <v/>
      </c>
    </row>
    <row r="488" spans="7:7">
      <c r="G488" s="75" t="str">
        <f>+IF(ISERROR(VLOOKUP(E488,Tareas_Maestro!A:E,5,0)),"",VLOOKUP(E488,Tareas_Maestro!A:E,5,0))</f>
        <v/>
      </c>
    </row>
    <row r="489" spans="7:7">
      <c r="G489" s="75" t="str">
        <f>+IF(ISERROR(VLOOKUP(E489,Tareas_Maestro!A:E,5,0)),"",VLOOKUP(E489,Tareas_Maestro!A:E,5,0))</f>
        <v/>
      </c>
    </row>
    <row r="490" spans="7:7">
      <c r="G490" s="75" t="str">
        <f>+IF(ISERROR(VLOOKUP(E490,Tareas_Maestro!A:E,5,0)),"",VLOOKUP(E490,Tareas_Maestro!A:E,5,0))</f>
        <v/>
      </c>
    </row>
    <row r="491" spans="7:7">
      <c r="G491" s="75" t="str">
        <f>+IF(ISERROR(VLOOKUP(E491,Tareas_Maestro!A:E,5,0)),"",VLOOKUP(E491,Tareas_Maestro!A:E,5,0))</f>
        <v/>
      </c>
    </row>
    <row r="492" spans="7:7">
      <c r="G492" s="75" t="str">
        <f>+IF(ISERROR(VLOOKUP(E492,Tareas_Maestro!A:E,5,0)),"",VLOOKUP(E492,Tareas_Maestro!A:E,5,0))</f>
        <v/>
      </c>
    </row>
    <row r="493" spans="7:7">
      <c r="G493" s="75" t="str">
        <f>+IF(ISERROR(VLOOKUP(E493,Tareas_Maestro!A:E,5,0)),"",VLOOKUP(E493,Tareas_Maestro!A:E,5,0))</f>
        <v/>
      </c>
    </row>
    <row r="494" spans="7:7">
      <c r="G494" s="75" t="str">
        <f>+IF(ISERROR(VLOOKUP(E494,Tareas_Maestro!A:E,5,0)),"",VLOOKUP(E494,Tareas_Maestro!A:E,5,0))</f>
        <v/>
      </c>
    </row>
    <row r="495" spans="7:7">
      <c r="G495" s="75" t="str">
        <f>+IF(ISERROR(VLOOKUP(E495,Tareas_Maestro!A:E,5,0)),"",VLOOKUP(E495,Tareas_Maestro!A:E,5,0))</f>
        <v/>
      </c>
    </row>
    <row r="496" spans="7:7">
      <c r="G496" s="75" t="str">
        <f>+IF(ISERROR(VLOOKUP(E496,Tareas_Maestro!A:E,5,0)),"",VLOOKUP(E496,Tareas_Maestro!A:E,5,0))</f>
        <v/>
      </c>
    </row>
    <row r="497" spans="7:7">
      <c r="G497" s="75" t="str">
        <f>+IF(ISERROR(VLOOKUP(E497,Tareas_Maestro!A:E,5,0)),"",VLOOKUP(E497,Tareas_Maestro!A:E,5,0))</f>
        <v/>
      </c>
    </row>
    <row r="498" spans="7:7">
      <c r="G498" s="75" t="str">
        <f>+IF(ISERROR(VLOOKUP(E498,Tareas_Maestro!A:E,5,0)),"",VLOOKUP(E498,Tareas_Maestro!A:E,5,0))</f>
        <v/>
      </c>
    </row>
    <row r="499" spans="7:7">
      <c r="G499" s="75" t="str">
        <f>+IF(ISERROR(VLOOKUP(E499,Tareas_Maestro!A:E,5,0)),"",VLOOKUP(E499,Tareas_Maestro!A:E,5,0))</f>
        <v/>
      </c>
    </row>
    <row r="500" spans="7:7">
      <c r="G500" s="75" t="str">
        <f>+IF(ISERROR(VLOOKUP(E500,Tareas_Maestro!A:E,5,0)),"",VLOOKUP(E500,Tareas_Maestro!A:E,5,0))</f>
        <v/>
      </c>
    </row>
    <row r="501" spans="7:7">
      <c r="G501" s="75" t="str">
        <f>+IF(ISERROR(VLOOKUP(E501,Tareas_Maestro!A:E,5,0)),"",VLOOKUP(E501,Tareas_Maestro!A:E,5,0))</f>
        <v/>
      </c>
    </row>
    <row r="502" spans="7:7">
      <c r="G502" s="75" t="str">
        <f>+IF(ISERROR(VLOOKUP(E502,Tareas_Maestro!A:E,5,0)),"",VLOOKUP(E502,Tareas_Maestro!A:E,5,0))</f>
        <v/>
      </c>
    </row>
    <row r="503" spans="7:7">
      <c r="G503" s="75" t="str">
        <f>+IF(ISERROR(VLOOKUP(E503,Tareas_Maestro!A:E,5,0)),"",VLOOKUP(E503,Tareas_Maestro!A:E,5,0))</f>
        <v/>
      </c>
    </row>
    <row r="504" spans="7:7">
      <c r="G504" s="75" t="str">
        <f>+IF(ISERROR(VLOOKUP(E504,Tareas_Maestro!A:E,5,0)),"",VLOOKUP(E504,Tareas_Maestro!A:E,5,0))</f>
        <v/>
      </c>
    </row>
    <row r="505" spans="7:7">
      <c r="G505" s="75" t="str">
        <f>+IF(ISERROR(VLOOKUP(E505,Tareas_Maestro!A:E,5,0)),"",VLOOKUP(E505,Tareas_Maestro!A:E,5,0))</f>
        <v/>
      </c>
    </row>
    <row r="506" spans="7:7">
      <c r="G506" s="75" t="str">
        <f>+IF(ISERROR(VLOOKUP(E506,Tareas_Maestro!A:E,5,0)),"",VLOOKUP(E506,Tareas_Maestro!A:E,5,0))</f>
        <v/>
      </c>
    </row>
    <row r="507" spans="7:7">
      <c r="G507" s="75" t="str">
        <f>+IF(ISERROR(VLOOKUP(E507,Tareas_Maestro!A:E,5,0)),"",VLOOKUP(E507,Tareas_Maestro!A:E,5,0))</f>
        <v/>
      </c>
    </row>
    <row r="508" spans="7:7">
      <c r="G508" s="75" t="str">
        <f>+IF(ISERROR(VLOOKUP(E508,Tareas_Maestro!A:E,5,0)),"",VLOOKUP(E508,Tareas_Maestro!A:E,5,0))</f>
        <v/>
      </c>
    </row>
    <row r="509" spans="7:7">
      <c r="G509" s="75" t="str">
        <f>+IF(ISERROR(VLOOKUP(E509,Tareas_Maestro!A:E,5,0)),"",VLOOKUP(E509,Tareas_Maestro!A:E,5,0))</f>
        <v/>
      </c>
    </row>
    <row r="510" spans="7:7">
      <c r="G510" s="75" t="str">
        <f>+IF(ISERROR(VLOOKUP(E510,Tareas_Maestro!A:E,5,0)),"",VLOOKUP(E510,Tareas_Maestro!A:E,5,0))</f>
        <v/>
      </c>
    </row>
    <row r="511" spans="7:7">
      <c r="G511" s="75" t="str">
        <f>+IF(ISERROR(VLOOKUP(E511,Tareas_Maestro!A:E,5,0)),"",VLOOKUP(E511,Tareas_Maestro!A:E,5,0))</f>
        <v/>
      </c>
    </row>
    <row r="512" spans="7:7">
      <c r="G512" s="75" t="str">
        <f>+IF(ISERROR(VLOOKUP(E512,Tareas_Maestro!A:E,5,0)),"",VLOOKUP(E512,Tareas_Maestro!A:E,5,0))</f>
        <v/>
      </c>
    </row>
    <row r="513" spans="7:7">
      <c r="G513" s="75" t="str">
        <f>+IF(ISERROR(VLOOKUP(E513,Tareas_Maestro!A:E,5,0)),"",VLOOKUP(E513,Tareas_Maestro!A:E,5,0))</f>
        <v/>
      </c>
    </row>
    <row r="514" spans="7:7">
      <c r="G514" s="75" t="str">
        <f>+IF(ISERROR(VLOOKUP(E514,Tareas_Maestro!A:E,5,0)),"",VLOOKUP(E514,Tareas_Maestro!A:E,5,0))</f>
        <v/>
      </c>
    </row>
    <row r="515" spans="7:7">
      <c r="G515" s="75" t="str">
        <f>+IF(ISERROR(VLOOKUP(E515,Tareas_Maestro!A:E,5,0)),"",VLOOKUP(E515,Tareas_Maestro!A:E,5,0))</f>
        <v/>
      </c>
    </row>
    <row r="516" spans="7:7">
      <c r="G516" s="75" t="str">
        <f>+IF(ISERROR(VLOOKUP(E516,Tareas_Maestro!A:E,5,0)),"",VLOOKUP(E516,Tareas_Maestro!A:E,5,0))</f>
        <v/>
      </c>
    </row>
    <row r="517" spans="7:7">
      <c r="G517" s="75" t="str">
        <f>+IF(ISERROR(VLOOKUP(E517,Tareas_Maestro!A:E,5,0)),"",VLOOKUP(E517,Tareas_Maestro!A:E,5,0))</f>
        <v/>
      </c>
    </row>
    <row r="518" spans="7:7">
      <c r="G518" s="75" t="str">
        <f>+IF(ISERROR(VLOOKUP(E518,Tareas_Maestro!A:E,5,0)),"",VLOOKUP(E518,Tareas_Maestro!A:E,5,0))</f>
        <v/>
      </c>
    </row>
    <row r="519" spans="7:7">
      <c r="G519" s="75" t="str">
        <f>+IF(ISERROR(VLOOKUP(E519,Tareas_Maestro!A:E,5,0)),"",VLOOKUP(E519,Tareas_Maestro!A:E,5,0))</f>
        <v/>
      </c>
    </row>
    <row r="520" spans="7:7">
      <c r="G520" s="75" t="str">
        <f>+IF(ISERROR(VLOOKUP(E520,Tareas_Maestro!A:E,5,0)),"",VLOOKUP(E520,Tareas_Maestro!A:E,5,0))</f>
        <v/>
      </c>
    </row>
    <row r="521" spans="7:7">
      <c r="G521" s="75" t="str">
        <f>+IF(ISERROR(VLOOKUP(E521,Tareas_Maestro!A:E,5,0)),"",VLOOKUP(E521,Tareas_Maestro!A:E,5,0))</f>
        <v/>
      </c>
    </row>
    <row r="522" spans="7:7">
      <c r="G522" s="75" t="str">
        <f>+IF(ISERROR(VLOOKUP(E522,Tareas_Maestro!A:E,5,0)),"",VLOOKUP(E522,Tareas_Maestro!A:E,5,0))</f>
        <v/>
      </c>
    </row>
    <row r="523" spans="7:7">
      <c r="G523" s="75" t="str">
        <f>+IF(ISERROR(VLOOKUP(E523,Tareas_Maestro!A:E,5,0)),"",VLOOKUP(E523,Tareas_Maestro!A:E,5,0))</f>
        <v/>
      </c>
    </row>
    <row r="524" spans="7:7">
      <c r="G524" s="75" t="str">
        <f>+IF(ISERROR(VLOOKUP(E524,Tareas_Maestro!A:E,5,0)),"",VLOOKUP(E524,Tareas_Maestro!A:E,5,0))</f>
        <v/>
      </c>
    </row>
    <row r="525" spans="7:7">
      <c r="G525" s="75" t="str">
        <f>+IF(ISERROR(VLOOKUP(E525,Tareas_Maestro!A:E,5,0)),"",VLOOKUP(E525,Tareas_Maestro!A:E,5,0))</f>
        <v/>
      </c>
    </row>
    <row r="526" spans="7:7">
      <c r="G526" s="75" t="str">
        <f>+IF(ISERROR(VLOOKUP(E526,Tareas_Maestro!A:E,5,0)),"",VLOOKUP(E526,Tareas_Maestro!A:E,5,0))</f>
        <v/>
      </c>
    </row>
    <row r="527" spans="7:7">
      <c r="G527" s="75" t="str">
        <f>+IF(ISERROR(VLOOKUP(E527,Tareas_Maestro!A:E,5,0)),"",VLOOKUP(E527,Tareas_Maestro!A:E,5,0))</f>
        <v/>
      </c>
    </row>
    <row r="528" spans="7:7">
      <c r="G528" s="75" t="str">
        <f>+IF(ISERROR(VLOOKUP(E528,Tareas_Maestro!A:E,5,0)),"",VLOOKUP(E528,Tareas_Maestro!A:E,5,0))</f>
        <v/>
      </c>
    </row>
    <row r="529" spans="7:7">
      <c r="G529" s="75" t="str">
        <f>+IF(ISERROR(VLOOKUP(E529,Tareas_Maestro!A:E,5,0)),"",VLOOKUP(E529,Tareas_Maestro!A:E,5,0))</f>
        <v/>
      </c>
    </row>
    <row r="530" spans="7:7">
      <c r="G530" s="75" t="str">
        <f>+IF(ISERROR(VLOOKUP(E530,Tareas_Maestro!A:E,5,0)),"",VLOOKUP(E530,Tareas_Maestro!A:E,5,0))</f>
        <v/>
      </c>
    </row>
    <row r="531" spans="7:7">
      <c r="G531" s="75" t="str">
        <f>+IF(ISERROR(VLOOKUP(E531,Tareas_Maestro!A:E,5,0)),"",VLOOKUP(E531,Tareas_Maestro!A:E,5,0))</f>
        <v/>
      </c>
    </row>
    <row r="532" spans="7:7">
      <c r="G532" s="75" t="str">
        <f>+IF(ISERROR(VLOOKUP(E532,Tareas_Maestro!A:E,5,0)),"",VLOOKUP(E532,Tareas_Maestro!A:E,5,0))</f>
        <v/>
      </c>
    </row>
    <row r="533" spans="7:7">
      <c r="G533" s="75" t="str">
        <f>+IF(ISERROR(VLOOKUP(E533,Tareas_Maestro!A:E,5,0)),"",VLOOKUP(E533,Tareas_Maestro!A:E,5,0))</f>
        <v/>
      </c>
    </row>
    <row r="534" spans="7:7">
      <c r="G534" s="75" t="str">
        <f>+IF(ISERROR(VLOOKUP(E534,Tareas_Maestro!A:E,5,0)),"",VLOOKUP(E534,Tareas_Maestro!A:E,5,0))</f>
        <v/>
      </c>
    </row>
    <row r="535" spans="7:7">
      <c r="G535" s="75" t="str">
        <f>+IF(ISERROR(VLOOKUP(E535,Tareas_Maestro!A:E,5,0)),"",VLOOKUP(E535,Tareas_Maestro!A:E,5,0))</f>
        <v/>
      </c>
    </row>
    <row r="536" spans="7:7">
      <c r="G536" s="75" t="str">
        <f>+IF(ISERROR(VLOOKUP(E536,Tareas_Maestro!A:E,5,0)),"",VLOOKUP(E536,Tareas_Maestro!A:E,5,0))</f>
        <v/>
      </c>
    </row>
    <row r="537" spans="7:7">
      <c r="G537" s="75" t="str">
        <f>+IF(ISERROR(VLOOKUP(E537,Tareas_Maestro!A:E,5,0)),"",VLOOKUP(E537,Tareas_Maestro!A:E,5,0))</f>
        <v/>
      </c>
    </row>
    <row r="538" spans="7:7">
      <c r="G538" s="75" t="str">
        <f>+IF(ISERROR(VLOOKUP(E538,Tareas_Maestro!A:E,5,0)),"",VLOOKUP(E538,Tareas_Maestro!A:E,5,0))</f>
        <v/>
      </c>
    </row>
    <row r="539" spans="7:7">
      <c r="G539" s="75" t="str">
        <f>+IF(ISERROR(VLOOKUP(E539,Tareas_Maestro!A:E,5,0)),"",VLOOKUP(E539,Tareas_Maestro!A:E,5,0))</f>
        <v/>
      </c>
    </row>
    <row r="540" spans="7:7">
      <c r="G540" s="75" t="str">
        <f>+IF(ISERROR(VLOOKUP(E540,Tareas_Maestro!A:E,5,0)),"",VLOOKUP(E540,Tareas_Maestro!A:E,5,0))</f>
        <v/>
      </c>
    </row>
    <row r="541" spans="7:7">
      <c r="G541" s="75" t="str">
        <f>+IF(ISERROR(VLOOKUP(E541,Tareas_Maestro!A:E,5,0)),"",VLOOKUP(E541,Tareas_Maestro!A:E,5,0))</f>
        <v/>
      </c>
    </row>
    <row r="542" spans="7:7">
      <c r="G542" s="75" t="str">
        <f>+IF(ISERROR(VLOOKUP(E542,Tareas_Maestro!A:E,5,0)),"",VLOOKUP(E542,Tareas_Maestro!A:E,5,0))</f>
        <v/>
      </c>
    </row>
    <row r="543" spans="7:7">
      <c r="G543" s="75" t="str">
        <f>+IF(ISERROR(VLOOKUP(E543,Tareas_Maestro!A:E,5,0)),"",VLOOKUP(E543,Tareas_Maestro!A:E,5,0))</f>
        <v/>
      </c>
    </row>
    <row r="544" spans="7:7">
      <c r="G544" s="75" t="str">
        <f>+IF(ISERROR(VLOOKUP(E544,Tareas_Maestro!A:E,5,0)),"",VLOOKUP(E544,Tareas_Maestro!A:E,5,0))</f>
        <v/>
      </c>
    </row>
    <row r="545" spans="7:7">
      <c r="G545" s="75" t="str">
        <f>+IF(ISERROR(VLOOKUP(E545,Tareas_Maestro!A:E,5,0)),"",VLOOKUP(E545,Tareas_Maestro!A:E,5,0))</f>
        <v/>
      </c>
    </row>
    <row r="546" spans="7:7">
      <c r="G546" s="75" t="str">
        <f>+IF(ISERROR(VLOOKUP(E546,Tareas_Maestro!A:E,5,0)),"",VLOOKUP(E546,Tareas_Maestro!A:E,5,0))</f>
        <v/>
      </c>
    </row>
    <row r="547" spans="7:7">
      <c r="G547" s="75" t="str">
        <f>+IF(ISERROR(VLOOKUP(E547,Tareas_Maestro!A:E,5,0)),"",VLOOKUP(E547,Tareas_Maestro!A:E,5,0))</f>
        <v/>
      </c>
    </row>
    <row r="548" spans="7:7">
      <c r="G548" s="75" t="str">
        <f>+IF(ISERROR(VLOOKUP(E548,Tareas_Maestro!A:E,5,0)),"",VLOOKUP(E548,Tareas_Maestro!A:E,5,0))</f>
        <v/>
      </c>
    </row>
    <row r="549" spans="7:7">
      <c r="G549" s="75" t="str">
        <f>+IF(ISERROR(VLOOKUP(E549,Tareas_Maestro!A:E,5,0)),"",VLOOKUP(E549,Tareas_Maestro!A:E,5,0))</f>
        <v/>
      </c>
    </row>
    <row r="550" spans="7:7">
      <c r="G550" s="75" t="str">
        <f>+IF(ISERROR(VLOOKUP(E550,Tareas_Maestro!A:E,5,0)),"",VLOOKUP(E550,Tareas_Maestro!A:E,5,0))</f>
        <v/>
      </c>
    </row>
    <row r="551" spans="7:7">
      <c r="G551" s="75" t="str">
        <f>+IF(ISERROR(VLOOKUP(E551,Tareas_Maestro!A:E,5,0)),"",VLOOKUP(E551,Tareas_Maestro!A:E,5,0))</f>
        <v/>
      </c>
    </row>
    <row r="552" spans="7:7">
      <c r="G552" s="75" t="str">
        <f>+IF(ISERROR(VLOOKUP(E552,Tareas_Maestro!A:E,5,0)),"",VLOOKUP(E552,Tareas_Maestro!A:E,5,0))</f>
        <v/>
      </c>
    </row>
    <row r="553" spans="7:7">
      <c r="G553" s="75" t="str">
        <f>+IF(ISERROR(VLOOKUP(E553,Tareas_Maestro!A:E,5,0)),"",VLOOKUP(E553,Tareas_Maestro!A:E,5,0))</f>
        <v/>
      </c>
    </row>
    <row r="554" spans="7:7">
      <c r="G554" s="75" t="str">
        <f>+IF(ISERROR(VLOOKUP(E554,Tareas_Maestro!A:E,5,0)),"",VLOOKUP(E554,Tareas_Maestro!A:E,5,0))</f>
        <v/>
      </c>
    </row>
    <row r="555" spans="7:7">
      <c r="G555" s="75" t="str">
        <f>+IF(ISERROR(VLOOKUP(E555,Tareas_Maestro!A:E,5,0)),"",VLOOKUP(E555,Tareas_Maestro!A:E,5,0))</f>
        <v/>
      </c>
    </row>
    <row r="556" spans="7:7">
      <c r="G556" s="75" t="str">
        <f>+IF(ISERROR(VLOOKUP(E556,Tareas_Maestro!A:E,5,0)),"",VLOOKUP(E556,Tareas_Maestro!A:E,5,0))</f>
        <v/>
      </c>
    </row>
    <row r="557" spans="7:7">
      <c r="G557" s="75" t="str">
        <f>+IF(ISERROR(VLOOKUP(E557,Tareas_Maestro!A:E,5,0)),"",VLOOKUP(E557,Tareas_Maestro!A:E,5,0))</f>
        <v/>
      </c>
    </row>
    <row r="558" spans="7:7">
      <c r="G558" s="75" t="str">
        <f>+IF(ISERROR(VLOOKUP(E558,Tareas_Maestro!A:E,5,0)),"",VLOOKUP(E558,Tareas_Maestro!A:E,5,0))</f>
        <v/>
      </c>
    </row>
    <row r="559" spans="7:7">
      <c r="G559" s="75" t="str">
        <f>+IF(ISERROR(VLOOKUP(E559,Tareas_Maestro!A:E,5,0)),"",VLOOKUP(E559,Tareas_Maestro!A:E,5,0))</f>
        <v/>
      </c>
    </row>
    <row r="560" spans="7:7">
      <c r="G560" s="75" t="str">
        <f>+IF(ISERROR(VLOOKUP(E560,Tareas_Maestro!A:E,5,0)),"",VLOOKUP(E560,Tareas_Maestro!A:E,5,0))</f>
        <v/>
      </c>
    </row>
    <row r="561" spans="7:7">
      <c r="G561" s="75" t="str">
        <f>+IF(ISERROR(VLOOKUP(E561,Tareas_Maestro!A:E,5,0)),"",VLOOKUP(E561,Tareas_Maestro!A:E,5,0))</f>
        <v/>
      </c>
    </row>
    <row r="562" spans="7:7">
      <c r="G562" s="75" t="str">
        <f>+IF(ISERROR(VLOOKUP(E562,Tareas_Maestro!A:E,5,0)),"",VLOOKUP(E562,Tareas_Maestro!A:E,5,0))</f>
        <v/>
      </c>
    </row>
    <row r="563" spans="7:7">
      <c r="G563" s="75" t="str">
        <f>+IF(ISERROR(VLOOKUP(E563,Tareas_Maestro!A:E,5,0)),"",VLOOKUP(E563,Tareas_Maestro!A:E,5,0))</f>
        <v/>
      </c>
    </row>
    <row r="564" spans="7:7">
      <c r="G564" s="75" t="str">
        <f>+IF(ISERROR(VLOOKUP(E564,Tareas_Maestro!A:E,5,0)),"",VLOOKUP(E564,Tareas_Maestro!A:E,5,0))</f>
        <v/>
      </c>
    </row>
    <row r="565" spans="7:7">
      <c r="G565" s="75" t="str">
        <f>+IF(ISERROR(VLOOKUP(E565,Tareas_Maestro!A:E,5,0)),"",VLOOKUP(E565,Tareas_Maestro!A:E,5,0))</f>
        <v/>
      </c>
    </row>
    <row r="566" spans="7:7">
      <c r="G566" s="75" t="str">
        <f>+IF(ISERROR(VLOOKUP(E566,Tareas_Maestro!A:E,5,0)),"",VLOOKUP(E566,Tareas_Maestro!A:E,5,0))</f>
        <v/>
      </c>
    </row>
    <row r="567" spans="7:7">
      <c r="G567" s="75" t="str">
        <f>+IF(ISERROR(VLOOKUP(E567,Tareas_Maestro!A:E,5,0)),"",VLOOKUP(E567,Tareas_Maestro!A:E,5,0))</f>
        <v/>
      </c>
    </row>
    <row r="568" spans="7:7">
      <c r="G568" s="75" t="str">
        <f>+IF(ISERROR(VLOOKUP(E568,Tareas_Maestro!A:E,5,0)),"",VLOOKUP(E568,Tareas_Maestro!A:E,5,0))</f>
        <v/>
      </c>
    </row>
    <row r="569" spans="7:7">
      <c r="G569" s="75" t="str">
        <f>+IF(ISERROR(VLOOKUP(E569,Tareas_Maestro!A:E,5,0)),"",VLOOKUP(E569,Tareas_Maestro!A:E,5,0))</f>
        <v/>
      </c>
    </row>
    <row r="570" spans="7:7">
      <c r="G570" s="75" t="str">
        <f>+IF(ISERROR(VLOOKUP(E570,Tareas_Maestro!A:E,5,0)),"",VLOOKUP(E570,Tareas_Maestro!A:E,5,0))</f>
        <v/>
      </c>
    </row>
    <row r="571" spans="7:7">
      <c r="G571" s="75" t="str">
        <f>+IF(ISERROR(VLOOKUP(E571,Tareas_Maestro!A:E,5,0)),"",VLOOKUP(E571,Tareas_Maestro!A:E,5,0))</f>
        <v/>
      </c>
    </row>
    <row r="572" spans="7:7">
      <c r="G572" s="75" t="str">
        <f>+IF(ISERROR(VLOOKUP(E572,Tareas_Maestro!A:E,5,0)),"",VLOOKUP(E572,Tareas_Maestro!A:E,5,0))</f>
        <v/>
      </c>
    </row>
    <row r="573" spans="7:7">
      <c r="G573" s="75" t="str">
        <f>+IF(ISERROR(VLOOKUP(E573,Tareas_Maestro!A:E,5,0)),"",VLOOKUP(E573,Tareas_Maestro!A:E,5,0))</f>
        <v/>
      </c>
    </row>
    <row r="574" spans="7:7">
      <c r="G574" s="75" t="str">
        <f>+IF(ISERROR(VLOOKUP(E574,Tareas_Maestro!A:E,5,0)),"",VLOOKUP(E574,Tareas_Maestro!A:E,5,0))</f>
        <v/>
      </c>
    </row>
    <row r="575" spans="7:7">
      <c r="G575" s="75" t="str">
        <f>+IF(ISERROR(VLOOKUP(E575,Tareas_Maestro!A:E,5,0)),"",VLOOKUP(E575,Tareas_Maestro!A:E,5,0))</f>
        <v/>
      </c>
    </row>
    <row r="576" spans="7:7">
      <c r="G576" s="75" t="str">
        <f>+IF(ISERROR(VLOOKUP(E576,Tareas_Maestro!A:E,5,0)),"",VLOOKUP(E576,Tareas_Maestro!A:E,5,0))</f>
        <v/>
      </c>
    </row>
    <row r="577" spans="7:7">
      <c r="G577" s="75" t="str">
        <f>+IF(ISERROR(VLOOKUP(E577,Tareas_Maestro!A:E,5,0)),"",VLOOKUP(E577,Tareas_Maestro!A:E,5,0))</f>
        <v/>
      </c>
    </row>
    <row r="578" spans="7:7">
      <c r="G578" s="75" t="str">
        <f>+IF(ISERROR(VLOOKUP(E578,Tareas_Maestro!A:E,5,0)),"",VLOOKUP(E578,Tareas_Maestro!A:E,5,0))</f>
        <v/>
      </c>
    </row>
    <row r="579" spans="7:7">
      <c r="G579" s="75" t="str">
        <f>+IF(ISERROR(VLOOKUP(E579,Tareas_Maestro!A:E,5,0)),"",VLOOKUP(E579,Tareas_Maestro!A:E,5,0))</f>
        <v/>
      </c>
    </row>
    <row r="580" spans="7:7">
      <c r="G580" s="75" t="str">
        <f>+IF(ISERROR(VLOOKUP(E580,Tareas_Maestro!A:E,5,0)),"",VLOOKUP(E580,Tareas_Maestro!A:E,5,0))</f>
        <v/>
      </c>
    </row>
    <row r="581" spans="7:7">
      <c r="G581" s="75" t="str">
        <f>+IF(ISERROR(VLOOKUP(E581,Tareas_Maestro!A:E,5,0)),"",VLOOKUP(E581,Tareas_Maestro!A:E,5,0))</f>
        <v/>
      </c>
    </row>
    <row r="582" spans="7:7">
      <c r="G582" s="75" t="str">
        <f>+IF(ISERROR(VLOOKUP(E582,Tareas_Maestro!A:E,5,0)),"",VLOOKUP(E582,Tareas_Maestro!A:E,5,0))</f>
        <v/>
      </c>
    </row>
    <row r="583" spans="7:7">
      <c r="G583" s="75" t="str">
        <f>+IF(ISERROR(VLOOKUP(E583,Tareas_Maestro!A:E,5,0)),"",VLOOKUP(E583,Tareas_Maestro!A:E,5,0))</f>
        <v/>
      </c>
    </row>
    <row r="584" spans="7:7">
      <c r="G584" s="75" t="str">
        <f>+IF(ISERROR(VLOOKUP(E584,Tareas_Maestro!A:E,5,0)),"",VLOOKUP(E584,Tareas_Maestro!A:E,5,0))</f>
        <v/>
      </c>
    </row>
    <row r="585" spans="7:7">
      <c r="G585" s="75" t="str">
        <f>+IF(ISERROR(VLOOKUP(E585,Tareas_Maestro!A:E,5,0)),"",VLOOKUP(E585,Tareas_Maestro!A:E,5,0))</f>
        <v/>
      </c>
    </row>
    <row r="586" spans="7:7">
      <c r="G586" s="75" t="str">
        <f>+IF(ISERROR(VLOOKUP(E586,Tareas_Maestro!A:E,5,0)),"",VLOOKUP(E586,Tareas_Maestro!A:E,5,0))</f>
        <v/>
      </c>
    </row>
    <row r="587" spans="7:7">
      <c r="G587" s="75" t="str">
        <f>+IF(ISERROR(VLOOKUP(E587,Tareas_Maestro!A:E,5,0)),"",VLOOKUP(E587,Tareas_Maestro!A:E,5,0))</f>
        <v/>
      </c>
    </row>
    <row r="588" spans="7:7">
      <c r="G588" s="75" t="str">
        <f>+IF(ISERROR(VLOOKUP(E588,Tareas_Maestro!A:E,5,0)),"",VLOOKUP(E588,Tareas_Maestro!A:E,5,0))</f>
        <v/>
      </c>
    </row>
    <row r="589" spans="7:7">
      <c r="G589" s="75" t="str">
        <f>+IF(ISERROR(VLOOKUP(E589,Tareas_Maestro!A:E,5,0)),"",VLOOKUP(E589,Tareas_Maestro!A:E,5,0))</f>
        <v/>
      </c>
    </row>
    <row r="590" spans="7:7">
      <c r="G590" s="75" t="str">
        <f>+IF(ISERROR(VLOOKUP(E590,Tareas_Maestro!A:E,5,0)),"",VLOOKUP(E590,Tareas_Maestro!A:E,5,0))</f>
        <v/>
      </c>
    </row>
    <row r="591" spans="7:7">
      <c r="G591" s="75" t="str">
        <f>+IF(ISERROR(VLOOKUP(E591,Tareas_Maestro!A:E,5,0)),"",VLOOKUP(E591,Tareas_Maestro!A:E,5,0))</f>
        <v/>
      </c>
    </row>
    <row r="592" spans="7:7">
      <c r="G592" s="75" t="str">
        <f>+IF(ISERROR(VLOOKUP(E592,Tareas_Maestro!A:E,5,0)),"",VLOOKUP(E592,Tareas_Maestro!A:E,5,0))</f>
        <v/>
      </c>
    </row>
    <row r="593" spans="7:7">
      <c r="G593" s="75" t="str">
        <f>+IF(ISERROR(VLOOKUP(E593,Tareas_Maestro!A:E,5,0)),"",VLOOKUP(E593,Tareas_Maestro!A:E,5,0))</f>
        <v/>
      </c>
    </row>
    <row r="594" spans="7:7">
      <c r="G594" s="75" t="str">
        <f>+IF(ISERROR(VLOOKUP(E594,Tareas_Maestro!A:E,5,0)),"",VLOOKUP(E594,Tareas_Maestro!A:E,5,0))</f>
        <v/>
      </c>
    </row>
    <row r="595" spans="7:7">
      <c r="G595" s="75" t="str">
        <f>+IF(ISERROR(VLOOKUP(E595,Tareas_Maestro!A:E,5,0)),"",VLOOKUP(E595,Tareas_Maestro!A:E,5,0))</f>
        <v/>
      </c>
    </row>
    <row r="596" spans="7:7">
      <c r="G596" s="75" t="str">
        <f>+IF(ISERROR(VLOOKUP(E596,Tareas_Maestro!A:E,5,0)),"",VLOOKUP(E596,Tareas_Maestro!A:E,5,0))</f>
        <v/>
      </c>
    </row>
    <row r="597" spans="7:7">
      <c r="G597" s="75" t="str">
        <f>+IF(ISERROR(VLOOKUP(E597,Tareas_Maestro!A:E,5,0)),"",VLOOKUP(E597,Tareas_Maestro!A:E,5,0))</f>
        <v/>
      </c>
    </row>
    <row r="598" spans="7:7">
      <c r="G598" s="75" t="str">
        <f>+IF(ISERROR(VLOOKUP(E598,Tareas_Maestro!A:E,5,0)),"",VLOOKUP(E598,Tareas_Maestro!A:E,5,0))</f>
        <v/>
      </c>
    </row>
    <row r="599" spans="7:7">
      <c r="G599" s="75" t="str">
        <f>+IF(ISERROR(VLOOKUP(E599,Tareas_Maestro!A:E,5,0)),"",VLOOKUP(E599,Tareas_Maestro!A:E,5,0))</f>
        <v/>
      </c>
    </row>
    <row r="600" spans="7:7">
      <c r="G600" s="75" t="str">
        <f>+IF(ISERROR(VLOOKUP(E600,Tareas_Maestro!A:E,5,0)),"",VLOOKUP(E600,Tareas_Maestro!A:E,5,0))</f>
        <v/>
      </c>
    </row>
    <row r="601" spans="7:7">
      <c r="G601" s="75" t="str">
        <f>+IF(ISERROR(VLOOKUP(E601,Tareas_Maestro!A:E,5,0)),"",VLOOKUP(E601,Tareas_Maestro!A:E,5,0))</f>
        <v/>
      </c>
    </row>
    <row r="602" spans="7:7">
      <c r="G602" s="75" t="str">
        <f>+IF(ISERROR(VLOOKUP(E602,Tareas_Maestro!A:E,5,0)),"",VLOOKUP(E602,Tareas_Maestro!A:E,5,0))</f>
        <v/>
      </c>
    </row>
    <row r="603" spans="7:7">
      <c r="G603" s="75" t="str">
        <f>+IF(ISERROR(VLOOKUP(E603,Tareas_Maestro!A:E,5,0)),"",VLOOKUP(E603,Tareas_Maestro!A:E,5,0))</f>
        <v/>
      </c>
    </row>
    <row r="604" spans="7:7">
      <c r="G604" s="75" t="str">
        <f>+IF(ISERROR(VLOOKUP(E604,Tareas_Maestro!A:E,5,0)),"",VLOOKUP(E604,Tareas_Maestro!A:E,5,0))</f>
        <v/>
      </c>
    </row>
    <row r="605" spans="7:7">
      <c r="G605" s="75" t="str">
        <f>+IF(ISERROR(VLOOKUP(E605,Tareas_Maestro!A:E,5,0)),"",VLOOKUP(E605,Tareas_Maestro!A:E,5,0))</f>
        <v/>
      </c>
    </row>
    <row r="606" spans="7:7">
      <c r="G606" s="75" t="str">
        <f>+IF(ISERROR(VLOOKUP(E606,Tareas_Maestro!A:E,5,0)),"",VLOOKUP(E606,Tareas_Maestro!A:E,5,0))</f>
        <v/>
      </c>
    </row>
    <row r="607" spans="7:7">
      <c r="G607" s="75" t="str">
        <f>+IF(ISERROR(VLOOKUP(E607,Tareas_Maestro!A:E,5,0)),"",VLOOKUP(E607,Tareas_Maestro!A:E,5,0))</f>
        <v/>
      </c>
    </row>
    <row r="608" spans="7:7">
      <c r="G608" s="75" t="str">
        <f>+IF(ISERROR(VLOOKUP(E608,Tareas_Maestro!A:E,5,0)),"",VLOOKUP(E608,Tareas_Maestro!A:E,5,0))</f>
        <v/>
      </c>
    </row>
    <row r="609" spans="7:7">
      <c r="G609" s="75" t="str">
        <f>+IF(ISERROR(VLOOKUP(E609,Tareas_Maestro!A:E,5,0)),"",VLOOKUP(E609,Tareas_Maestro!A:E,5,0))</f>
        <v/>
      </c>
    </row>
    <row r="610" spans="7:7">
      <c r="G610" s="75" t="str">
        <f>+IF(ISERROR(VLOOKUP(E610,Tareas_Maestro!A:E,5,0)),"",VLOOKUP(E610,Tareas_Maestro!A:E,5,0))</f>
        <v/>
      </c>
    </row>
    <row r="611" spans="7:7">
      <c r="G611" s="75" t="str">
        <f>+IF(ISERROR(VLOOKUP(E611,Tareas_Maestro!A:E,5,0)),"",VLOOKUP(E611,Tareas_Maestro!A:E,5,0))</f>
        <v/>
      </c>
    </row>
    <row r="612" spans="7:7">
      <c r="G612" s="75" t="str">
        <f>+IF(ISERROR(VLOOKUP(E612,Tareas_Maestro!A:E,5,0)),"",VLOOKUP(E612,Tareas_Maestro!A:E,5,0))</f>
        <v/>
      </c>
    </row>
    <row r="613" spans="7:7">
      <c r="G613" s="75" t="str">
        <f>+IF(ISERROR(VLOOKUP(E613,Tareas_Maestro!A:E,5,0)),"",VLOOKUP(E613,Tareas_Maestro!A:E,5,0))</f>
        <v/>
      </c>
    </row>
    <row r="614" spans="7:7">
      <c r="G614" s="75" t="str">
        <f>+IF(ISERROR(VLOOKUP(E614,Tareas_Maestro!A:E,5,0)),"",VLOOKUP(E614,Tareas_Maestro!A:E,5,0))</f>
        <v/>
      </c>
    </row>
    <row r="615" spans="7:7">
      <c r="G615" s="75" t="str">
        <f>+IF(ISERROR(VLOOKUP(E615,Tareas_Maestro!A:E,5,0)),"",VLOOKUP(E615,Tareas_Maestro!A:E,5,0))</f>
        <v/>
      </c>
    </row>
    <row r="616" spans="7:7">
      <c r="G616" s="75" t="str">
        <f>+IF(ISERROR(VLOOKUP(E616,Tareas_Maestro!A:E,5,0)),"",VLOOKUP(E616,Tareas_Maestro!A:E,5,0))</f>
        <v/>
      </c>
    </row>
    <row r="617" spans="7:7">
      <c r="G617" s="75" t="str">
        <f>+IF(ISERROR(VLOOKUP(E617,Tareas_Maestro!A:E,5,0)),"",VLOOKUP(E617,Tareas_Maestro!A:E,5,0))</f>
        <v/>
      </c>
    </row>
    <row r="618" spans="7:7">
      <c r="G618" s="75" t="str">
        <f>+IF(ISERROR(VLOOKUP(E618,Tareas_Maestro!A:E,5,0)),"",VLOOKUP(E618,Tareas_Maestro!A:E,5,0))</f>
        <v/>
      </c>
    </row>
    <row r="619" spans="7:7">
      <c r="G619" s="75" t="str">
        <f>+IF(ISERROR(VLOOKUP(E619,Tareas_Maestro!A:E,5,0)),"",VLOOKUP(E619,Tareas_Maestro!A:E,5,0))</f>
        <v/>
      </c>
    </row>
    <row r="620" spans="7:7">
      <c r="G620" s="75" t="str">
        <f>+IF(ISERROR(VLOOKUP(E620,Tareas_Maestro!A:E,5,0)),"",VLOOKUP(E620,Tareas_Maestro!A:E,5,0))</f>
        <v/>
      </c>
    </row>
    <row r="621" spans="7:7">
      <c r="G621" s="75" t="str">
        <f>+IF(ISERROR(VLOOKUP(E621,Tareas_Maestro!A:E,5,0)),"",VLOOKUP(E621,Tareas_Maestro!A:E,5,0))</f>
        <v/>
      </c>
    </row>
    <row r="622" spans="7:7">
      <c r="G622" s="75" t="str">
        <f>+IF(ISERROR(VLOOKUP(E622,Tareas_Maestro!A:E,5,0)),"",VLOOKUP(E622,Tareas_Maestro!A:E,5,0))</f>
        <v/>
      </c>
    </row>
    <row r="623" spans="7:7">
      <c r="G623" s="75" t="str">
        <f>+IF(ISERROR(VLOOKUP(E623,Tareas_Maestro!A:E,5,0)),"",VLOOKUP(E623,Tareas_Maestro!A:E,5,0))</f>
        <v/>
      </c>
    </row>
    <row r="624" spans="7:7">
      <c r="G624" s="75" t="str">
        <f>+IF(ISERROR(VLOOKUP(E624,Tareas_Maestro!A:E,5,0)),"",VLOOKUP(E624,Tareas_Maestro!A:E,5,0))</f>
        <v/>
      </c>
    </row>
    <row r="625" spans="7:7">
      <c r="G625" s="75" t="str">
        <f>+IF(ISERROR(VLOOKUP(E625,Tareas_Maestro!A:E,5,0)),"",VLOOKUP(E625,Tareas_Maestro!A:E,5,0))</f>
        <v/>
      </c>
    </row>
    <row r="626" spans="7:7">
      <c r="G626" s="75" t="str">
        <f>+IF(ISERROR(VLOOKUP(E626,Tareas_Maestro!A:E,5,0)),"",VLOOKUP(E626,Tareas_Maestro!A:E,5,0))</f>
        <v/>
      </c>
    </row>
    <row r="627" spans="7:7">
      <c r="G627" s="75" t="str">
        <f>+IF(ISERROR(VLOOKUP(E627,Tareas_Maestro!A:E,5,0)),"",VLOOKUP(E627,Tareas_Maestro!A:E,5,0))</f>
        <v/>
      </c>
    </row>
    <row r="628" spans="7:7">
      <c r="G628" s="75" t="str">
        <f>+IF(ISERROR(VLOOKUP(E628,Tareas_Maestro!A:E,5,0)),"",VLOOKUP(E628,Tareas_Maestro!A:E,5,0))</f>
        <v/>
      </c>
    </row>
    <row r="629" spans="7:7">
      <c r="G629" s="75" t="str">
        <f>+IF(ISERROR(VLOOKUP(E629,Tareas_Maestro!A:E,5,0)),"",VLOOKUP(E629,Tareas_Maestro!A:E,5,0))</f>
        <v/>
      </c>
    </row>
    <row r="630" spans="7:7">
      <c r="G630" s="75" t="str">
        <f>+IF(ISERROR(VLOOKUP(E630,Tareas_Maestro!A:E,5,0)),"",VLOOKUP(E630,Tareas_Maestro!A:E,5,0))</f>
        <v/>
      </c>
    </row>
    <row r="631" spans="7:7">
      <c r="G631" s="75" t="str">
        <f>+IF(ISERROR(VLOOKUP(E631,Tareas_Maestro!A:E,5,0)),"",VLOOKUP(E631,Tareas_Maestro!A:E,5,0))</f>
        <v/>
      </c>
    </row>
    <row r="632" spans="7:7">
      <c r="G632" s="75" t="str">
        <f>+IF(ISERROR(VLOOKUP(E632,Tareas_Maestro!A:E,5,0)),"",VLOOKUP(E632,Tareas_Maestro!A:E,5,0))</f>
        <v/>
      </c>
    </row>
    <row r="633" spans="7:7">
      <c r="G633" s="75" t="str">
        <f>+IF(ISERROR(VLOOKUP(E633,Tareas_Maestro!A:E,5,0)),"",VLOOKUP(E633,Tareas_Maestro!A:E,5,0))</f>
        <v/>
      </c>
    </row>
    <row r="634" spans="7:7">
      <c r="G634" s="75" t="str">
        <f>+IF(ISERROR(VLOOKUP(E634,Tareas_Maestro!A:E,5,0)),"",VLOOKUP(E634,Tareas_Maestro!A:E,5,0))</f>
        <v/>
      </c>
    </row>
    <row r="635" spans="7:7">
      <c r="G635" s="75" t="str">
        <f>+IF(ISERROR(VLOOKUP(E635,Tareas_Maestro!A:E,5,0)),"",VLOOKUP(E635,Tareas_Maestro!A:E,5,0))</f>
        <v/>
      </c>
    </row>
    <row r="636" spans="7:7">
      <c r="G636" s="75" t="str">
        <f>+IF(ISERROR(VLOOKUP(E636,Tareas_Maestro!A:E,5,0)),"",VLOOKUP(E636,Tareas_Maestro!A:E,5,0))</f>
        <v/>
      </c>
    </row>
    <row r="637" spans="7:7">
      <c r="G637" s="75" t="str">
        <f>+IF(ISERROR(VLOOKUP(E637,Tareas_Maestro!A:E,5,0)),"",VLOOKUP(E637,Tareas_Maestro!A:E,5,0))</f>
        <v/>
      </c>
    </row>
    <row r="638" spans="7:7">
      <c r="G638" s="75" t="str">
        <f>+IF(ISERROR(VLOOKUP(E638,Tareas_Maestro!A:E,5,0)),"",VLOOKUP(E638,Tareas_Maestro!A:E,5,0))</f>
        <v/>
      </c>
    </row>
    <row r="639" spans="7:7">
      <c r="G639" s="75" t="str">
        <f>+IF(ISERROR(VLOOKUP(E639,Tareas_Maestro!A:E,5,0)),"",VLOOKUP(E639,Tareas_Maestro!A:E,5,0))</f>
        <v/>
      </c>
    </row>
    <row r="640" spans="7:7">
      <c r="G640" s="75" t="str">
        <f>+IF(ISERROR(VLOOKUP(E640,Tareas_Maestro!A:E,5,0)),"",VLOOKUP(E640,Tareas_Maestro!A:E,5,0))</f>
        <v/>
      </c>
    </row>
    <row r="641" spans="7:7">
      <c r="G641" s="75" t="str">
        <f>+IF(ISERROR(VLOOKUP(E641,Tareas_Maestro!A:E,5,0)),"",VLOOKUP(E641,Tareas_Maestro!A:E,5,0))</f>
        <v/>
      </c>
    </row>
    <row r="642" spans="7:7">
      <c r="G642" s="75" t="str">
        <f>+IF(ISERROR(VLOOKUP(E642,Tareas_Maestro!A:E,5,0)),"",VLOOKUP(E642,Tareas_Maestro!A:E,5,0))</f>
        <v/>
      </c>
    </row>
    <row r="643" spans="7:7">
      <c r="G643" s="75" t="str">
        <f>+IF(ISERROR(VLOOKUP(E643,Tareas_Maestro!A:E,5,0)),"",VLOOKUP(E643,Tareas_Maestro!A:E,5,0))</f>
        <v/>
      </c>
    </row>
    <row r="644" spans="7:7">
      <c r="G644" s="75" t="str">
        <f>+IF(ISERROR(VLOOKUP(E644,Tareas_Maestro!A:E,5,0)),"",VLOOKUP(E644,Tareas_Maestro!A:E,5,0))</f>
        <v/>
      </c>
    </row>
    <row r="645" spans="7:7">
      <c r="G645" s="75" t="str">
        <f>+IF(ISERROR(VLOOKUP(E645,Tareas_Maestro!A:E,5,0)),"",VLOOKUP(E645,Tareas_Maestro!A:E,5,0))</f>
        <v/>
      </c>
    </row>
    <row r="646" spans="7:7">
      <c r="G646" s="75" t="str">
        <f>+IF(ISERROR(VLOOKUP(E646,Tareas_Maestro!A:E,5,0)),"",VLOOKUP(E646,Tareas_Maestro!A:E,5,0))</f>
        <v/>
      </c>
    </row>
    <row r="647" spans="7:7">
      <c r="G647" s="75" t="str">
        <f>+IF(ISERROR(VLOOKUP(E647,Tareas_Maestro!A:E,5,0)),"",VLOOKUP(E647,Tareas_Maestro!A:E,5,0))</f>
        <v/>
      </c>
    </row>
    <row r="648" spans="7:7">
      <c r="G648" s="75" t="str">
        <f>+IF(ISERROR(VLOOKUP(E648,Tareas_Maestro!A:E,5,0)),"",VLOOKUP(E648,Tareas_Maestro!A:E,5,0))</f>
        <v/>
      </c>
    </row>
    <row r="649" spans="7:7">
      <c r="G649" s="75" t="str">
        <f>+IF(ISERROR(VLOOKUP(E649,Tareas_Maestro!A:E,5,0)),"",VLOOKUP(E649,Tareas_Maestro!A:E,5,0))</f>
        <v/>
      </c>
    </row>
    <row r="650" spans="7:7">
      <c r="G650" s="75" t="str">
        <f>+IF(ISERROR(VLOOKUP(E650,Tareas_Maestro!A:E,5,0)),"",VLOOKUP(E650,Tareas_Maestro!A:E,5,0))</f>
        <v/>
      </c>
    </row>
    <row r="651" spans="7:7">
      <c r="G651" s="75" t="str">
        <f>+IF(ISERROR(VLOOKUP(E651,Tareas_Maestro!A:E,5,0)),"",VLOOKUP(E651,Tareas_Maestro!A:E,5,0))</f>
        <v/>
      </c>
    </row>
    <row r="652" spans="7:7">
      <c r="G652" s="75" t="str">
        <f>+IF(ISERROR(VLOOKUP(E652,Tareas_Maestro!A:E,5,0)),"",VLOOKUP(E652,Tareas_Maestro!A:E,5,0))</f>
        <v/>
      </c>
    </row>
    <row r="653" spans="7:7">
      <c r="G653" s="75" t="str">
        <f>+IF(ISERROR(VLOOKUP(E653,Tareas_Maestro!A:E,5,0)),"",VLOOKUP(E653,Tareas_Maestro!A:E,5,0))</f>
        <v/>
      </c>
    </row>
    <row r="654" spans="7:7">
      <c r="G654" s="75" t="str">
        <f>+IF(ISERROR(VLOOKUP(E654,Tareas_Maestro!A:E,5,0)),"",VLOOKUP(E654,Tareas_Maestro!A:E,5,0))</f>
        <v/>
      </c>
    </row>
    <row r="655" spans="7:7">
      <c r="G655" s="75" t="str">
        <f>+IF(ISERROR(VLOOKUP(E655,Tareas_Maestro!A:E,5,0)),"",VLOOKUP(E655,Tareas_Maestro!A:E,5,0))</f>
        <v/>
      </c>
    </row>
    <row r="656" spans="7:7">
      <c r="G656" s="75" t="str">
        <f>+IF(ISERROR(VLOOKUP(E656,Tareas_Maestro!A:E,5,0)),"",VLOOKUP(E656,Tareas_Maestro!A:E,5,0))</f>
        <v/>
      </c>
    </row>
    <row r="657" spans="7:7">
      <c r="G657" s="75" t="str">
        <f>+IF(ISERROR(VLOOKUP(E657,Tareas_Maestro!A:E,5,0)),"",VLOOKUP(E657,Tareas_Maestro!A:E,5,0))</f>
        <v/>
      </c>
    </row>
    <row r="658" spans="7:7">
      <c r="G658" s="75" t="str">
        <f>+IF(ISERROR(VLOOKUP(E658,Tareas_Maestro!A:E,5,0)),"",VLOOKUP(E658,Tareas_Maestro!A:E,5,0))</f>
        <v/>
      </c>
    </row>
    <row r="659" spans="7:7">
      <c r="G659" s="75" t="str">
        <f>+IF(ISERROR(VLOOKUP(E659,Tareas_Maestro!A:E,5,0)),"",VLOOKUP(E659,Tareas_Maestro!A:E,5,0))</f>
        <v/>
      </c>
    </row>
    <row r="660" spans="7:7">
      <c r="G660" s="75" t="str">
        <f>+IF(ISERROR(VLOOKUP(E660,Tareas_Maestro!A:E,5,0)),"",VLOOKUP(E660,Tareas_Maestro!A:E,5,0))</f>
        <v/>
      </c>
    </row>
    <row r="661" spans="7:7">
      <c r="G661" s="75" t="str">
        <f>+IF(ISERROR(VLOOKUP(E661,Tareas_Maestro!A:E,5,0)),"",VLOOKUP(E661,Tareas_Maestro!A:E,5,0))</f>
        <v/>
      </c>
    </row>
    <row r="662" spans="7:7">
      <c r="G662" s="75" t="str">
        <f>+IF(ISERROR(VLOOKUP(E662,Tareas_Maestro!A:E,5,0)),"",VLOOKUP(E662,Tareas_Maestro!A:E,5,0))</f>
        <v/>
      </c>
    </row>
    <row r="663" spans="7:7">
      <c r="G663" s="75" t="str">
        <f>+IF(ISERROR(VLOOKUP(E663,Tareas_Maestro!A:E,5,0)),"",VLOOKUP(E663,Tareas_Maestro!A:E,5,0))</f>
        <v/>
      </c>
    </row>
    <row r="664" spans="7:7">
      <c r="G664" s="75" t="str">
        <f>+IF(ISERROR(VLOOKUP(E664,Tareas_Maestro!A:E,5,0)),"",VLOOKUP(E664,Tareas_Maestro!A:E,5,0))</f>
        <v/>
      </c>
    </row>
    <row r="665" spans="7:7">
      <c r="G665" s="75" t="str">
        <f>+IF(ISERROR(VLOOKUP(E665,Tareas_Maestro!A:E,5,0)),"",VLOOKUP(E665,Tareas_Maestro!A:E,5,0))</f>
        <v/>
      </c>
    </row>
    <row r="666" spans="7:7">
      <c r="G666" s="75" t="str">
        <f>+IF(ISERROR(VLOOKUP(E666,Tareas_Maestro!A:E,5,0)),"",VLOOKUP(E666,Tareas_Maestro!A:E,5,0))</f>
        <v/>
      </c>
    </row>
    <row r="667" spans="7:7">
      <c r="G667" s="75" t="str">
        <f>+IF(ISERROR(VLOOKUP(E667,Tareas_Maestro!A:E,5,0)),"",VLOOKUP(E667,Tareas_Maestro!A:E,5,0))</f>
        <v/>
      </c>
    </row>
    <row r="668" spans="7:7">
      <c r="G668" s="75" t="str">
        <f>+IF(ISERROR(VLOOKUP(E668,Tareas_Maestro!A:E,5,0)),"",VLOOKUP(E668,Tareas_Maestro!A:E,5,0))</f>
        <v/>
      </c>
    </row>
    <row r="669" spans="7:7">
      <c r="G669" s="75" t="str">
        <f>+IF(ISERROR(VLOOKUP(E669,Tareas_Maestro!A:E,5,0)),"",VLOOKUP(E669,Tareas_Maestro!A:E,5,0))</f>
        <v/>
      </c>
    </row>
    <row r="670" spans="7:7">
      <c r="G670" s="75" t="str">
        <f>+IF(ISERROR(VLOOKUP(E670,Tareas_Maestro!A:E,5,0)),"",VLOOKUP(E670,Tareas_Maestro!A:E,5,0))</f>
        <v/>
      </c>
    </row>
    <row r="671" spans="7:7">
      <c r="G671" s="75" t="str">
        <f>+IF(ISERROR(VLOOKUP(E671,Tareas_Maestro!A:E,5,0)),"",VLOOKUP(E671,Tareas_Maestro!A:E,5,0))</f>
        <v/>
      </c>
    </row>
    <row r="672" spans="7:7">
      <c r="G672" s="75" t="str">
        <f>+IF(ISERROR(VLOOKUP(E672,Tareas_Maestro!A:E,5,0)),"",VLOOKUP(E672,Tareas_Maestro!A:E,5,0))</f>
        <v/>
      </c>
    </row>
    <row r="673" spans="7:7">
      <c r="G673" s="75" t="str">
        <f>+IF(ISERROR(VLOOKUP(E673,Tareas_Maestro!A:E,5,0)),"",VLOOKUP(E673,Tareas_Maestro!A:E,5,0))</f>
        <v/>
      </c>
    </row>
    <row r="674" spans="7:7">
      <c r="G674" s="75" t="str">
        <f>+IF(ISERROR(VLOOKUP(E674,Tareas_Maestro!A:E,5,0)),"",VLOOKUP(E674,Tareas_Maestro!A:E,5,0))</f>
        <v/>
      </c>
    </row>
    <row r="675" spans="7:7">
      <c r="G675" s="75" t="str">
        <f>+IF(ISERROR(VLOOKUP(E675,Tareas_Maestro!A:E,5,0)),"",VLOOKUP(E675,Tareas_Maestro!A:E,5,0))</f>
        <v/>
      </c>
    </row>
    <row r="676" spans="7:7">
      <c r="G676" s="75" t="str">
        <f>+IF(ISERROR(VLOOKUP(E676,Tareas_Maestro!A:E,5,0)),"",VLOOKUP(E676,Tareas_Maestro!A:E,5,0))</f>
        <v/>
      </c>
    </row>
    <row r="677" spans="7:7">
      <c r="G677" s="75" t="str">
        <f>+IF(ISERROR(VLOOKUP(E677,Tareas_Maestro!A:E,5,0)),"",VLOOKUP(E677,Tareas_Maestro!A:E,5,0))</f>
        <v/>
      </c>
    </row>
    <row r="678" spans="7:7">
      <c r="G678" s="75" t="str">
        <f>+IF(ISERROR(VLOOKUP(E678,Tareas_Maestro!A:E,5,0)),"",VLOOKUP(E678,Tareas_Maestro!A:E,5,0))</f>
        <v/>
      </c>
    </row>
    <row r="679" spans="7:7">
      <c r="G679" s="75" t="str">
        <f>+IF(ISERROR(VLOOKUP(E679,Tareas_Maestro!A:E,5,0)),"",VLOOKUP(E679,Tareas_Maestro!A:E,5,0))</f>
        <v/>
      </c>
    </row>
    <row r="680" spans="7:7">
      <c r="G680" s="75" t="str">
        <f>+IF(ISERROR(VLOOKUP(E680,Tareas_Maestro!A:E,5,0)),"",VLOOKUP(E680,Tareas_Maestro!A:E,5,0))</f>
        <v/>
      </c>
    </row>
    <row r="681" spans="7:7">
      <c r="G681" s="75" t="str">
        <f>+IF(ISERROR(VLOOKUP(E681,Tareas_Maestro!A:E,5,0)),"",VLOOKUP(E681,Tareas_Maestro!A:E,5,0))</f>
        <v/>
      </c>
    </row>
    <row r="682" spans="7:7">
      <c r="G682" s="75" t="str">
        <f>+IF(ISERROR(VLOOKUP(E682,Tareas_Maestro!A:E,5,0)),"",VLOOKUP(E682,Tareas_Maestro!A:E,5,0))</f>
        <v/>
      </c>
    </row>
    <row r="683" spans="7:7">
      <c r="G683" s="75" t="str">
        <f>+IF(ISERROR(VLOOKUP(E683,Tareas_Maestro!A:E,5,0)),"",VLOOKUP(E683,Tareas_Maestro!A:E,5,0))</f>
        <v/>
      </c>
    </row>
    <row r="684" spans="7:7">
      <c r="G684" s="75" t="str">
        <f>+IF(ISERROR(VLOOKUP(E684,Tareas_Maestro!A:E,5,0)),"",VLOOKUP(E684,Tareas_Maestro!A:E,5,0))</f>
        <v/>
      </c>
    </row>
    <row r="685" spans="7:7">
      <c r="G685" s="75" t="str">
        <f>+IF(ISERROR(VLOOKUP(E685,Tareas_Maestro!A:E,5,0)),"",VLOOKUP(E685,Tareas_Maestro!A:E,5,0))</f>
        <v/>
      </c>
    </row>
    <row r="686" spans="7:7">
      <c r="G686" s="75" t="str">
        <f>+IF(ISERROR(VLOOKUP(E686,Tareas_Maestro!A:E,5,0)),"",VLOOKUP(E686,Tareas_Maestro!A:E,5,0))</f>
        <v/>
      </c>
    </row>
    <row r="687" spans="7:7">
      <c r="G687" s="75" t="str">
        <f>+IF(ISERROR(VLOOKUP(E687,Tareas_Maestro!A:E,5,0)),"",VLOOKUP(E687,Tareas_Maestro!A:E,5,0))</f>
        <v/>
      </c>
    </row>
    <row r="688" spans="7:7">
      <c r="G688" s="75" t="str">
        <f>+IF(ISERROR(VLOOKUP(E688,Tareas_Maestro!A:E,5,0)),"",VLOOKUP(E688,Tareas_Maestro!A:E,5,0))</f>
        <v/>
      </c>
    </row>
    <row r="689" spans="7:7">
      <c r="G689" s="75" t="str">
        <f>+IF(ISERROR(VLOOKUP(E689,Tareas_Maestro!A:E,5,0)),"",VLOOKUP(E689,Tareas_Maestro!A:E,5,0))</f>
        <v/>
      </c>
    </row>
    <row r="690" spans="7:7">
      <c r="G690" s="75" t="str">
        <f>+IF(ISERROR(VLOOKUP(E690,Tareas_Maestro!A:E,5,0)),"",VLOOKUP(E690,Tareas_Maestro!A:E,5,0))</f>
        <v/>
      </c>
    </row>
    <row r="691" spans="7:7">
      <c r="G691" s="75" t="str">
        <f>+IF(ISERROR(VLOOKUP(E691,Tareas_Maestro!A:E,5,0)),"",VLOOKUP(E691,Tareas_Maestro!A:E,5,0))</f>
        <v/>
      </c>
    </row>
    <row r="692" spans="7:7">
      <c r="G692" s="75" t="str">
        <f>+IF(ISERROR(VLOOKUP(E692,Tareas_Maestro!A:E,5,0)),"",VLOOKUP(E692,Tareas_Maestro!A:E,5,0))</f>
        <v/>
      </c>
    </row>
    <row r="693" spans="7:7">
      <c r="G693" s="75" t="str">
        <f>+IF(ISERROR(VLOOKUP(E693,Tareas_Maestro!A:E,5,0)),"",VLOOKUP(E693,Tareas_Maestro!A:E,5,0))</f>
        <v/>
      </c>
    </row>
    <row r="694" spans="7:7">
      <c r="G694" s="75" t="str">
        <f>+IF(ISERROR(VLOOKUP(E694,Tareas_Maestro!A:E,5,0)),"",VLOOKUP(E694,Tareas_Maestro!A:E,5,0))</f>
        <v/>
      </c>
    </row>
    <row r="695" spans="7:7">
      <c r="G695" s="75" t="str">
        <f>+IF(ISERROR(VLOOKUP(E695,Tareas_Maestro!A:E,5,0)),"",VLOOKUP(E695,Tareas_Maestro!A:E,5,0))</f>
        <v/>
      </c>
    </row>
    <row r="696" spans="7:7">
      <c r="G696" s="75" t="str">
        <f>+IF(ISERROR(VLOOKUP(E696,Tareas_Maestro!A:E,5,0)),"",VLOOKUP(E696,Tareas_Maestro!A:E,5,0))</f>
        <v/>
      </c>
    </row>
    <row r="697" spans="7:7">
      <c r="G697" s="75" t="str">
        <f>+IF(ISERROR(VLOOKUP(E697,Tareas_Maestro!A:E,5,0)),"",VLOOKUP(E697,Tareas_Maestro!A:E,5,0))</f>
        <v/>
      </c>
    </row>
    <row r="698" spans="7:7">
      <c r="G698" s="75" t="str">
        <f>+IF(ISERROR(VLOOKUP(E698,Tareas_Maestro!A:E,5,0)),"",VLOOKUP(E698,Tareas_Maestro!A:E,5,0))</f>
        <v/>
      </c>
    </row>
    <row r="699" spans="7:7">
      <c r="G699" s="75" t="str">
        <f>+IF(ISERROR(VLOOKUP(E699,Tareas_Maestro!A:E,5,0)),"",VLOOKUP(E699,Tareas_Maestro!A:E,5,0))</f>
        <v/>
      </c>
    </row>
    <row r="700" spans="7:7">
      <c r="G700" s="75" t="str">
        <f>+IF(ISERROR(VLOOKUP(E700,Tareas_Maestro!A:E,5,0)),"",VLOOKUP(E700,Tareas_Maestro!A:E,5,0))</f>
        <v/>
      </c>
    </row>
    <row r="701" spans="7:7">
      <c r="G701" s="75" t="str">
        <f>+IF(ISERROR(VLOOKUP(E701,Tareas_Maestro!A:E,5,0)),"",VLOOKUP(E701,Tareas_Maestro!A:E,5,0))</f>
        <v/>
      </c>
    </row>
    <row r="702" spans="7:7">
      <c r="G702" s="75" t="str">
        <f>+IF(ISERROR(VLOOKUP(E702,Tareas_Maestro!A:E,5,0)),"",VLOOKUP(E702,Tareas_Maestro!A:E,5,0))</f>
        <v/>
      </c>
    </row>
    <row r="703" spans="7:7">
      <c r="G703" s="75" t="str">
        <f>+IF(ISERROR(VLOOKUP(E703,Tareas_Maestro!A:E,5,0)),"",VLOOKUP(E703,Tareas_Maestro!A:E,5,0))</f>
        <v/>
      </c>
    </row>
    <row r="704" spans="7:7">
      <c r="G704" s="75" t="str">
        <f>+IF(ISERROR(VLOOKUP(E704,Tareas_Maestro!A:E,5,0)),"",VLOOKUP(E704,Tareas_Maestro!A:E,5,0))</f>
        <v/>
      </c>
    </row>
    <row r="705" spans="7:7">
      <c r="G705" s="75" t="str">
        <f>+IF(ISERROR(VLOOKUP(E705,Tareas_Maestro!A:E,5,0)),"",VLOOKUP(E705,Tareas_Maestro!A:E,5,0))</f>
        <v/>
      </c>
    </row>
    <row r="706" spans="7:7">
      <c r="G706" s="75" t="str">
        <f>+IF(ISERROR(VLOOKUP(E706,Tareas_Maestro!A:E,5,0)),"",VLOOKUP(E706,Tareas_Maestro!A:E,5,0))</f>
        <v/>
      </c>
    </row>
    <row r="707" spans="7:7">
      <c r="G707" s="75" t="str">
        <f>+IF(ISERROR(VLOOKUP(E707,Tareas_Maestro!A:E,5,0)),"",VLOOKUP(E707,Tareas_Maestro!A:E,5,0))</f>
        <v/>
      </c>
    </row>
    <row r="708" spans="7:7">
      <c r="G708" s="75" t="str">
        <f>+IF(ISERROR(VLOOKUP(E708,Tareas_Maestro!A:E,5,0)),"",VLOOKUP(E708,Tareas_Maestro!A:E,5,0))</f>
        <v/>
      </c>
    </row>
    <row r="709" spans="7:7">
      <c r="G709" s="75" t="str">
        <f>+IF(ISERROR(VLOOKUP(E709,Tareas_Maestro!A:E,5,0)),"",VLOOKUP(E709,Tareas_Maestro!A:E,5,0))</f>
        <v/>
      </c>
    </row>
    <row r="710" spans="7:7">
      <c r="G710" s="75" t="str">
        <f>+IF(ISERROR(VLOOKUP(E710,Tareas_Maestro!A:E,5,0)),"",VLOOKUP(E710,Tareas_Maestro!A:E,5,0))</f>
        <v/>
      </c>
    </row>
    <row r="711" spans="7:7">
      <c r="G711" s="75" t="str">
        <f>+IF(ISERROR(VLOOKUP(E711,Tareas_Maestro!A:E,5,0)),"",VLOOKUP(E711,Tareas_Maestro!A:E,5,0))</f>
        <v/>
      </c>
    </row>
    <row r="712" spans="7:7">
      <c r="G712" s="75" t="str">
        <f>+IF(ISERROR(VLOOKUP(E712,Tareas_Maestro!A:E,5,0)),"",VLOOKUP(E712,Tareas_Maestro!A:E,5,0))</f>
        <v/>
      </c>
    </row>
    <row r="713" spans="7:7">
      <c r="G713" s="75" t="str">
        <f>+IF(ISERROR(VLOOKUP(E713,Tareas_Maestro!A:E,5,0)),"",VLOOKUP(E713,Tareas_Maestro!A:E,5,0))</f>
        <v/>
      </c>
    </row>
    <row r="714" spans="7:7">
      <c r="G714" s="75" t="str">
        <f>+IF(ISERROR(VLOOKUP(E714,Tareas_Maestro!A:E,5,0)),"",VLOOKUP(E714,Tareas_Maestro!A:E,5,0))</f>
        <v/>
      </c>
    </row>
    <row r="715" spans="7:7">
      <c r="G715" s="75" t="str">
        <f>+IF(ISERROR(VLOOKUP(E715,Tareas_Maestro!A:E,5,0)),"",VLOOKUP(E715,Tareas_Maestro!A:E,5,0))</f>
        <v/>
      </c>
    </row>
    <row r="716" spans="7:7">
      <c r="G716" s="75" t="str">
        <f>+IF(ISERROR(VLOOKUP(E716,Tareas_Maestro!A:E,5,0)),"",VLOOKUP(E716,Tareas_Maestro!A:E,5,0))</f>
        <v/>
      </c>
    </row>
    <row r="717" spans="7:7">
      <c r="G717" s="75" t="str">
        <f>+IF(ISERROR(VLOOKUP(E717,Tareas_Maestro!A:E,5,0)),"",VLOOKUP(E717,Tareas_Maestro!A:E,5,0))</f>
        <v/>
      </c>
    </row>
    <row r="718" spans="7:7">
      <c r="G718" s="75" t="str">
        <f>+IF(ISERROR(VLOOKUP(E718,Tareas_Maestro!A:E,5,0)),"",VLOOKUP(E718,Tareas_Maestro!A:E,5,0))</f>
        <v/>
      </c>
    </row>
    <row r="719" spans="7:7">
      <c r="G719" s="75" t="str">
        <f>+IF(ISERROR(VLOOKUP(E719,Tareas_Maestro!A:E,5,0)),"",VLOOKUP(E719,Tareas_Maestro!A:E,5,0))</f>
        <v/>
      </c>
    </row>
    <row r="720" spans="7:7">
      <c r="G720" s="75" t="str">
        <f>+IF(ISERROR(VLOOKUP(E720,Tareas_Maestro!A:E,5,0)),"",VLOOKUP(E720,Tareas_Maestro!A:E,5,0))</f>
        <v/>
      </c>
    </row>
    <row r="721" spans="7:7">
      <c r="G721" s="75" t="str">
        <f>+IF(ISERROR(VLOOKUP(E721,Tareas_Maestro!A:E,5,0)),"",VLOOKUP(E721,Tareas_Maestro!A:E,5,0))</f>
        <v/>
      </c>
    </row>
    <row r="722" spans="7:7">
      <c r="G722" s="75" t="str">
        <f>+IF(ISERROR(VLOOKUP(E722,Tareas_Maestro!A:E,5,0)),"",VLOOKUP(E722,Tareas_Maestro!A:E,5,0))</f>
        <v/>
      </c>
    </row>
    <row r="723" spans="7:7">
      <c r="G723" s="75" t="str">
        <f>+IF(ISERROR(VLOOKUP(E723,Tareas_Maestro!A:E,5,0)),"",VLOOKUP(E723,Tareas_Maestro!A:E,5,0))</f>
        <v/>
      </c>
    </row>
    <row r="724" spans="7:7">
      <c r="G724" s="75" t="str">
        <f>+IF(ISERROR(VLOOKUP(E724,Tareas_Maestro!A:E,5,0)),"",VLOOKUP(E724,Tareas_Maestro!A:E,5,0))</f>
        <v/>
      </c>
    </row>
    <row r="725" spans="7:7">
      <c r="G725" s="75" t="str">
        <f>+IF(ISERROR(VLOOKUP(E725,Tareas_Maestro!A:E,5,0)),"",VLOOKUP(E725,Tareas_Maestro!A:E,5,0))</f>
        <v/>
      </c>
    </row>
    <row r="726" spans="7:7">
      <c r="G726" s="75" t="str">
        <f>+IF(ISERROR(VLOOKUP(E726,Tareas_Maestro!A:E,5,0)),"",VLOOKUP(E726,Tareas_Maestro!A:E,5,0))</f>
        <v/>
      </c>
    </row>
    <row r="727" spans="7:7">
      <c r="G727" s="75" t="str">
        <f>+IF(ISERROR(VLOOKUP(E727,Tareas_Maestro!A:E,5,0)),"",VLOOKUP(E727,Tareas_Maestro!A:E,5,0))</f>
        <v/>
      </c>
    </row>
    <row r="728" spans="7:7">
      <c r="G728" s="75" t="str">
        <f>+IF(ISERROR(VLOOKUP(E728,Tareas_Maestro!A:E,5,0)),"",VLOOKUP(E728,Tareas_Maestro!A:E,5,0))</f>
        <v/>
      </c>
    </row>
    <row r="729" spans="7:7">
      <c r="G729" s="75" t="str">
        <f>+IF(ISERROR(VLOOKUP(E729,Tareas_Maestro!A:E,5,0)),"",VLOOKUP(E729,Tareas_Maestro!A:E,5,0))</f>
        <v/>
      </c>
    </row>
    <row r="730" spans="7:7">
      <c r="G730" s="75" t="str">
        <f>+IF(ISERROR(VLOOKUP(E730,Tareas_Maestro!A:E,5,0)),"",VLOOKUP(E730,Tareas_Maestro!A:E,5,0))</f>
        <v/>
      </c>
    </row>
    <row r="731" spans="7:7">
      <c r="G731" s="75" t="str">
        <f>+IF(ISERROR(VLOOKUP(E731,Tareas_Maestro!A:E,5,0)),"",VLOOKUP(E731,Tareas_Maestro!A:E,5,0))</f>
        <v/>
      </c>
    </row>
    <row r="732" spans="7:7">
      <c r="G732" s="75" t="str">
        <f>+IF(ISERROR(VLOOKUP(E732,Tareas_Maestro!A:E,5,0)),"",VLOOKUP(E732,Tareas_Maestro!A:E,5,0))</f>
        <v/>
      </c>
    </row>
    <row r="733" spans="7:7">
      <c r="G733" s="75" t="str">
        <f>+IF(ISERROR(VLOOKUP(E733,Tareas_Maestro!A:E,5,0)),"",VLOOKUP(E733,Tareas_Maestro!A:E,5,0))</f>
        <v/>
      </c>
    </row>
    <row r="734" spans="7:7">
      <c r="G734" s="75" t="str">
        <f>+IF(ISERROR(VLOOKUP(E734,Tareas_Maestro!A:E,5,0)),"",VLOOKUP(E734,Tareas_Maestro!A:E,5,0))</f>
        <v/>
      </c>
    </row>
    <row r="735" spans="7:7">
      <c r="G735" s="75" t="str">
        <f>+IF(ISERROR(VLOOKUP(E735,Tareas_Maestro!A:E,5,0)),"",VLOOKUP(E735,Tareas_Maestro!A:E,5,0))</f>
        <v/>
      </c>
    </row>
  </sheetData>
  <sheetProtection sheet="1" objects="1" scenarios="1" insertHyperlinks="0" autoFilter="0"/>
  <autoFilter ref="A1:J1" xr:uid="{2039A410-AB61-4E2F-AA3B-6D090D0F2681}"/>
  <sortState xmlns:xlrd2="http://schemas.microsoft.com/office/spreadsheetml/2017/richdata2" ref="A2:J342">
    <sortCondition ref="B1"/>
    <sortCondition ref="C1"/>
  </sortState>
  <conditionalFormatting sqref="B2:J2 B736:J1048576 B7:D288 F7:F288 B289:F735 B3:F6 G3:J735">
    <cfRule type="expression" dxfId="32" priority="2">
      <formula>$H2="Inactiva"</formula>
    </cfRule>
  </conditionalFormatting>
  <conditionalFormatting sqref="E7:E288">
    <cfRule type="expression" dxfId="31" priority="1">
      <formula>$H7="Inactiva"</formula>
    </cfRule>
  </conditionalFormatting>
  <dataValidations count="3">
    <dataValidation type="list" allowBlank="1" showInputMessage="1" showErrorMessage="1" sqref="D1:D1048576" xr:uid="{2CAD30AC-C9B8-4CD8-98D9-85A1F9C5B660}">
      <formula1>INDIRECT(TRIM($B1)&amp;"_")</formula1>
    </dataValidation>
    <dataValidation type="list" allowBlank="1" showInputMessage="1" showErrorMessage="1" sqref="H1:H1048576" xr:uid="{BD10D955-44DC-4D3C-85E9-7542A2EAFFB0}">
      <formula1>"Activa,Inactiva"</formula1>
    </dataValidation>
    <dataValidation type="list" allowBlank="1" showInputMessage="1" showErrorMessage="1" sqref="F1:F1048576" xr:uid="{87F9223A-863D-481D-9B48-EDABEF8C5D09}">
      <formula1>"Base,Personalizada"</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454CE-92A4-4BC8-801F-134DECEDAF2D}">
  <sheetPr codeName="Sheet26"/>
  <dimension ref="A1"/>
  <sheetViews>
    <sheetView workbookViewId="0"/>
  </sheetViews>
  <sheetFormatPr defaultRowHeight="14.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AF2AF-3E50-473A-A886-D0E854044F9B}">
  <sheetPr codeName="Sheet6"/>
  <dimension ref="A1:O3"/>
  <sheetViews>
    <sheetView topLeftCell="C1" workbookViewId="0">
      <selection activeCell="C2" sqref="C2"/>
    </sheetView>
  </sheetViews>
  <sheetFormatPr defaultRowHeight="14.45"/>
  <cols>
    <col min="1" max="2" width="0" hidden="1" customWidth="1"/>
    <col min="3" max="3" width="14.7109375" bestFit="1" customWidth="1"/>
    <col min="4" max="4" width="75.5703125" bestFit="1" customWidth="1"/>
    <col min="5" max="5" width="18.5703125" bestFit="1" customWidth="1"/>
    <col min="6" max="6" width="14.140625" customWidth="1"/>
    <col min="7" max="7" width="15.7109375" bestFit="1" customWidth="1"/>
    <col min="8" max="8" width="21.28515625" bestFit="1" customWidth="1"/>
    <col min="9" max="9" width="29.7109375" customWidth="1"/>
    <col min="10" max="10" width="22.7109375" bestFit="1" customWidth="1"/>
    <col min="11" max="11" width="109.28515625" bestFit="1" customWidth="1"/>
    <col min="12" max="12" width="80.140625" bestFit="1" customWidth="1"/>
    <col min="13" max="13" width="0" hidden="1" customWidth="1"/>
    <col min="14" max="14" width="10" hidden="1" customWidth="1"/>
    <col min="15" max="15" width="20.28515625" customWidth="1"/>
  </cols>
  <sheetData>
    <row r="1" spans="1:15">
      <c r="A1" s="2" t="s">
        <v>1240</v>
      </c>
      <c r="B1" s="2" t="s">
        <v>1241</v>
      </c>
      <c r="C1" s="5" t="s">
        <v>93</v>
      </c>
      <c r="D1" s="2" t="s">
        <v>443</v>
      </c>
      <c r="E1" s="5" t="s">
        <v>444</v>
      </c>
      <c r="F1" s="5" t="s">
        <v>445</v>
      </c>
      <c r="G1" s="5" t="s">
        <v>446</v>
      </c>
      <c r="H1" s="5" t="s">
        <v>1242</v>
      </c>
      <c r="I1" s="2" t="s">
        <v>1243</v>
      </c>
      <c r="J1" s="2" t="s">
        <v>1244</v>
      </c>
      <c r="K1" s="2" t="s">
        <v>1245</v>
      </c>
      <c r="L1" s="2" t="s">
        <v>1246</v>
      </c>
      <c r="M1" s="2" t="s">
        <v>1884</v>
      </c>
      <c r="N1" s="5" t="s">
        <v>1248</v>
      </c>
      <c r="O1" s="8" t="s">
        <v>1249</v>
      </c>
    </row>
    <row r="2" spans="1:15">
      <c r="A2" s="1" t="s">
        <v>1885</v>
      </c>
      <c r="B2" s="1" t="s">
        <v>1264</v>
      </c>
      <c r="C2" s="3"/>
      <c r="D2" s="4"/>
      <c r="E2" s="9"/>
      <c r="F2" s="6"/>
      <c r="G2" s="6"/>
      <c r="H2" s="9"/>
      <c r="I2" s="4"/>
      <c r="J2" s="4"/>
      <c r="K2" s="4"/>
      <c r="L2" s="4"/>
      <c r="M2" s="4"/>
      <c r="N2" s="6"/>
      <c r="O2" s="1"/>
    </row>
    <row r="3" spans="1:15">
      <c r="A3" s="1" t="s">
        <v>1886</v>
      </c>
      <c r="B3" s="1" t="s">
        <v>1264</v>
      </c>
      <c r="C3" s="3"/>
      <c r="D3" s="4"/>
      <c r="E3" s="9"/>
      <c r="F3" s="6"/>
      <c r="G3" s="6"/>
      <c r="H3" s="9"/>
      <c r="I3" s="4"/>
      <c r="J3" s="4"/>
      <c r="K3" s="4"/>
      <c r="L3" s="4"/>
      <c r="M3" s="4"/>
      <c r="N3" s="6"/>
      <c r="O3" s="1"/>
    </row>
  </sheetData>
  <conditionalFormatting sqref="A1:N1 P1:XFD1">
    <cfRule type="expression" dxfId="30" priority="11">
      <formula>$F1="Vencida"</formula>
    </cfRule>
    <cfRule type="expression" dxfId="29" priority="12">
      <formula>$F1="Completada"</formula>
    </cfRule>
  </conditionalFormatting>
  <conditionalFormatting sqref="O1">
    <cfRule type="expression" dxfId="28" priority="7">
      <formula>$F1="Vencida"</formula>
    </cfRule>
    <cfRule type="expression" dxfId="27" priority="8">
      <formula>$F1="Completada"</formula>
    </cfRule>
  </conditionalFormatting>
  <conditionalFormatting sqref="A2:XFD2">
    <cfRule type="expression" dxfId="26" priority="3">
      <formula>$F2="Vencida"</formula>
    </cfRule>
    <cfRule type="expression" dxfId="25" priority="4">
      <formula>$F2="Completada"</formula>
    </cfRule>
  </conditionalFormatting>
  <conditionalFormatting sqref="A3:XFD3">
    <cfRule type="expression" dxfId="24" priority="1">
      <formula>$F3="Vencida"</formula>
    </cfRule>
    <cfRule type="expression" dxfId="23" priority="2">
      <formula>$F3="Completada"</formula>
    </cfRule>
  </conditionalFormatting>
  <dataValidations count="2">
    <dataValidation type="list" allowBlank="1" showInputMessage="1" showErrorMessage="1" sqref="F1:F3" xr:uid="{4EA704CB-B8E4-4F6A-AE81-83123DDB3354}">
      <formula1>"Pendiente,Completada,Vencida,Anular tarea"</formula1>
    </dataValidation>
    <dataValidation type="list" allowBlank="1" showInputMessage="1" showErrorMessage="1" sqref="O2:O3" xr:uid="{3FB72A00-F2CA-4301-9153-B7AED7B93518}">
      <formula1>INDIRECT(TRIM(SUBSTITUTE($G2," ","_")))</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0C75-A648-47F6-8D2A-912B38F0B34F}">
  <sheetPr codeName="Sheet7"/>
  <dimension ref="A1:P225"/>
  <sheetViews>
    <sheetView topLeftCell="C1" workbookViewId="0">
      <selection activeCell="A224" sqref="A224:O225"/>
    </sheetView>
  </sheetViews>
  <sheetFormatPr defaultRowHeight="14.45"/>
  <cols>
    <col min="1" max="2" width="0" hidden="1" customWidth="1"/>
    <col min="3" max="3" width="14.7109375" bestFit="1" customWidth="1"/>
    <col min="4" max="4" width="49.7109375" customWidth="1"/>
    <col min="5" max="5" width="18.5703125" bestFit="1" customWidth="1"/>
    <col min="6" max="6" width="14.140625" customWidth="1"/>
    <col min="7" max="7" width="15.7109375" bestFit="1" customWidth="1"/>
    <col min="8" max="8" width="21.28515625" bestFit="1" customWidth="1"/>
    <col min="9" max="9" width="29.7109375" customWidth="1"/>
    <col min="10" max="10" width="22.7109375" bestFit="1" customWidth="1"/>
    <col min="11" max="11" width="76.7109375" customWidth="1"/>
    <col min="12" max="12" width="80.140625" customWidth="1"/>
    <col min="13" max="13" width="0" hidden="1" customWidth="1"/>
    <col min="14" max="14" width="24.42578125" bestFit="1" customWidth="1"/>
    <col min="15" max="15" width="24.140625" style="59" bestFit="1" customWidth="1"/>
    <col min="16" max="16" width="20.7109375" customWidth="1"/>
  </cols>
  <sheetData>
    <row r="1" spans="1:16" ht="28.9">
      <c r="A1" s="23" t="s">
        <v>1240</v>
      </c>
      <c r="B1" s="24" t="s">
        <v>1241</v>
      </c>
      <c r="C1" s="25" t="s">
        <v>93</v>
      </c>
      <c r="D1" s="26" t="s">
        <v>443</v>
      </c>
      <c r="E1" s="27" t="s">
        <v>444</v>
      </c>
      <c r="F1" s="27" t="s">
        <v>445</v>
      </c>
      <c r="G1" s="27" t="s">
        <v>446</v>
      </c>
      <c r="H1" s="27" t="s">
        <v>1242</v>
      </c>
      <c r="I1" s="26" t="s">
        <v>1243</v>
      </c>
      <c r="J1" s="26" t="s">
        <v>1244</v>
      </c>
      <c r="K1" s="26" t="s">
        <v>1245</v>
      </c>
      <c r="L1" s="26" t="s">
        <v>1246</v>
      </c>
      <c r="M1" s="26" t="s">
        <v>1884</v>
      </c>
      <c r="N1" s="27" t="s">
        <v>1248</v>
      </c>
      <c r="O1" s="27" t="s">
        <v>447</v>
      </c>
      <c r="P1" s="28" t="s">
        <v>1887</v>
      </c>
    </row>
    <row r="2" spans="1:16" ht="72">
      <c r="A2" s="1" t="s">
        <v>1888</v>
      </c>
      <c r="B2" s="1" t="s">
        <v>1264</v>
      </c>
      <c r="C2" s="3" t="s">
        <v>449</v>
      </c>
      <c r="D2" s="4" t="s">
        <v>450</v>
      </c>
      <c r="E2" s="9">
        <v>45846</v>
      </c>
      <c r="F2" s="6" t="s">
        <v>87</v>
      </c>
      <c r="G2" s="6" t="s">
        <v>83</v>
      </c>
      <c r="H2" s="9">
        <v>45846</v>
      </c>
      <c r="I2" s="7" t="s">
        <v>1889</v>
      </c>
      <c r="J2" s="4"/>
      <c r="K2" s="4" t="s">
        <v>637</v>
      </c>
      <c r="L2" s="4" t="s">
        <v>1268</v>
      </c>
      <c r="M2" s="4" t="s">
        <v>636</v>
      </c>
      <c r="N2" s="6" t="s">
        <v>1271</v>
      </c>
      <c r="O2" s="6"/>
      <c r="P2" s="1">
        <v>0</v>
      </c>
    </row>
    <row r="3" spans="1:16" ht="72">
      <c r="A3" s="1" t="s">
        <v>1890</v>
      </c>
      <c r="B3" s="1" t="s">
        <v>1264</v>
      </c>
      <c r="C3" s="3" t="s">
        <v>449</v>
      </c>
      <c r="D3" s="4" t="s">
        <v>450</v>
      </c>
      <c r="E3" s="9">
        <v>45846</v>
      </c>
      <c r="F3" s="6" t="s">
        <v>88</v>
      </c>
      <c r="G3" s="6" t="s">
        <v>7</v>
      </c>
      <c r="H3" s="9"/>
      <c r="I3" s="7" t="s">
        <v>1889</v>
      </c>
      <c r="J3" s="4"/>
      <c r="K3" s="4" t="s">
        <v>637</v>
      </c>
      <c r="L3" s="4" t="s">
        <v>1268</v>
      </c>
      <c r="M3" s="4" t="s">
        <v>636</v>
      </c>
      <c r="N3" s="6" t="s">
        <v>1271</v>
      </c>
      <c r="O3" s="6"/>
      <c r="P3" s="1"/>
    </row>
    <row r="4" spans="1:16" ht="28.9">
      <c r="A4" s="1" t="s">
        <v>1891</v>
      </c>
      <c r="B4" s="1" t="s">
        <v>1264</v>
      </c>
      <c r="C4" s="3" t="s">
        <v>449</v>
      </c>
      <c r="D4" s="4" t="s">
        <v>451</v>
      </c>
      <c r="E4" s="9">
        <v>45846</v>
      </c>
      <c r="F4" s="6" t="s">
        <v>87</v>
      </c>
      <c r="G4" s="6" t="s">
        <v>83</v>
      </c>
      <c r="H4" s="9">
        <v>45846</v>
      </c>
      <c r="I4" s="7" t="s">
        <v>1892</v>
      </c>
      <c r="J4" s="4"/>
      <c r="K4" s="4" t="s">
        <v>641</v>
      </c>
      <c r="L4" s="4" t="s">
        <v>1273</v>
      </c>
      <c r="M4" s="4" t="s">
        <v>640</v>
      </c>
      <c r="N4" s="6" t="s">
        <v>1271</v>
      </c>
      <c r="O4" s="6"/>
      <c r="P4" s="1">
        <v>0</v>
      </c>
    </row>
    <row r="5" spans="1:16" ht="28.9">
      <c r="A5" s="1" t="s">
        <v>1893</v>
      </c>
      <c r="B5" s="1" t="s">
        <v>1264</v>
      </c>
      <c r="C5" s="3" t="s">
        <v>449</v>
      </c>
      <c r="D5" s="4" t="s">
        <v>451</v>
      </c>
      <c r="E5" s="9">
        <v>45846</v>
      </c>
      <c r="F5" s="6" t="s">
        <v>87</v>
      </c>
      <c r="G5" s="6" t="s">
        <v>85</v>
      </c>
      <c r="H5" s="9">
        <v>45853</v>
      </c>
      <c r="I5" s="7" t="s">
        <v>1892</v>
      </c>
      <c r="J5" s="4"/>
      <c r="K5" s="4" t="s">
        <v>641</v>
      </c>
      <c r="L5" s="4" t="s">
        <v>1273</v>
      </c>
      <c r="M5" s="4" t="s">
        <v>640</v>
      </c>
      <c r="N5" s="6" t="s">
        <v>1271</v>
      </c>
      <c r="O5" s="6"/>
      <c r="P5" s="1">
        <v>7</v>
      </c>
    </row>
    <row r="6" spans="1:16" ht="28.9">
      <c r="A6" s="1" t="s">
        <v>1894</v>
      </c>
      <c r="B6" s="1" t="s">
        <v>1264</v>
      </c>
      <c r="C6" s="3" t="s">
        <v>449</v>
      </c>
      <c r="D6" s="4" t="s">
        <v>451</v>
      </c>
      <c r="E6" s="9">
        <v>45846</v>
      </c>
      <c r="F6" s="6" t="s">
        <v>88</v>
      </c>
      <c r="G6" s="6" t="s">
        <v>84</v>
      </c>
      <c r="H6" s="9"/>
      <c r="I6" s="7" t="s">
        <v>1892</v>
      </c>
      <c r="J6" s="4"/>
      <c r="K6" s="4" t="s">
        <v>641</v>
      </c>
      <c r="L6" s="4" t="s">
        <v>1273</v>
      </c>
      <c r="M6" s="4" t="s">
        <v>640</v>
      </c>
      <c r="N6" s="6" t="s">
        <v>1271</v>
      </c>
      <c r="O6" s="6"/>
      <c r="P6" s="1"/>
    </row>
    <row r="7" spans="1:16" ht="28.9">
      <c r="A7" s="1" t="s">
        <v>1895</v>
      </c>
      <c r="B7" s="1" t="s">
        <v>1264</v>
      </c>
      <c r="C7" s="3" t="s">
        <v>449</v>
      </c>
      <c r="D7" s="4" t="s">
        <v>451</v>
      </c>
      <c r="E7" s="9">
        <v>45846</v>
      </c>
      <c r="F7" s="6" t="s">
        <v>88</v>
      </c>
      <c r="G7" s="6" t="s">
        <v>7</v>
      </c>
      <c r="H7" s="9"/>
      <c r="I7" s="7" t="s">
        <v>1892</v>
      </c>
      <c r="J7" s="4"/>
      <c r="K7" s="4" t="s">
        <v>641</v>
      </c>
      <c r="L7" s="4" t="s">
        <v>1273</v>
      </c>
      <c r="M7" s="4" t="s">
        <v>640</v>
      </c>
      <c r="N7" s="6" t="s">
        <v>1271</v>
      </c>
      <c r="O7" s="6"/>
      <c r="P7" s="1"/>
    </row>
    <row r="8" spans="1:16" ht="28.9">
      <c r="A8" s="1" t="s">
        <v>1896</v>
      </c>
      <c r="B8" s="1" t="s">
        <v>1264</v>
      </c>
      <c r="C8" s="3" t="s">
        <v>449</v>
      </c>
      <c r="D8" s="4" t="s">
        <v>453</v>
      </c>
      <c r="E8" s="9">
        <v>45846</v>
      </c>
      <c r="F8" s="6" t="s">
        <v>87</v>
      </c>
      <c r="G8" s="6" t="s">
        <v>83</v>
      </c>
      <c r="H8" s="9">
        <v>45846</v>
      </c>
      <c r="I8" s="7" t="s">
        <v>1892</v>
      </c>
      <c r="J8" s="4"/>
      <c r="K8" s="4" t="s">
        <v>645</v>
      </c>
      <c r="L8" s="4" t="s">
        <v>1275</v>
      </c>
      <c r="M8" s="4" t="s">
        <v>644</v>
      </c>
      <c r="N8" s="6" t="s">
        <v>1271</v>
      </c>
      <c r="O8" s="6"/>
      <c r="P8" s="1">
        <v>0</v>
      </c>
    </row>
    <row r="9" spans="1:16" ht="28.9">
      <c r="A9" s="1" t="s">
        <v>1897</v>
      </c>
      <c r="B9" s="1" t="s">
        <v>1264</v>
      </c>
      <c r="C9" s="3" t="s">
        <v>449</v>
      </c>
      <c r="D9" s="4" t="s">
        <v>453</v>
      </c>
      <c r="E9" s="9">
        <v>45846</v>
      </c>
      <c r="F9" s="6" t="s">
        <v>88</v>
      </c>
      <c r="G9" s="6" t="s">
        <v>85</v>
      </c>
      <c r="H9" s="9"/>
      <c r="I9" s="7" t="s">
        <v>1892</v>
      </c>
      <c r="J9" s="4"/>
      <c r="K9" s="4" t="s">
        <v>645</v>
      </c>
      <c r="L9" s="4" t="s">
        <v>1275</v>
      </c>
      <c r="M9" s="4" t="s">
        <v>644</v>
      </c>
      <c r="N9" s="6" t="s">
        <v>1271</v>
      </c>
      <c r="O9" s="6"/>
      <c r="P9" s="1"/>
    </row>
    <row r="10" spans="1:16" ht="28.9">
      <c r="A10" s="1" t="s">
        <v>1898</v>
      </c>
      <c r="B10" s="1" t="s">
        <v>1264</v>
      </c>
      <c r="C10" s="3" t="s">
        <v>449</v>
      </c>
      <c r="D10" s="4" t="s">
        <v>453</v>
      </c>
      <c r="E10" s="9">
        <v>45846</v>
      </c>
      <c r="F10" s="6" t="s">
        <v>88</v>
      </c>
      <c r="G10" s="6" t="s">
        <v>84</v>
      </c>
      <c r="H10" s="9"/>
      <c r="I10" s="7" t="s">
        <v>1892</v>
      </c>
      <c r="J10" s="4"/>
      <c r="K10" s="4" t="s">
        <v>645</v>
      </c>
      <c r="L10" s="4" t="s">
        <v>1275</v>
      </c>
      <c r="M10" s="4" t="s">
        <v>644</v>
      </c>
      <c r="N10" s="6" t="s">
        <v>1271</v>
      </c>
      <c r="O10" s="6"/>
      <c r="P10" s="1"/>
    </row>
    <row r="11" spans="1:16" ht="28.9">
      <c r="A11" s="1" t="s">
        <v>1899</v>
      </c>
      <c r="B11" s="1" t="s">
        <v>1264</v>
      </c>
      <c r="C11" s="3" t="s">
        <v>449</v>
      </c>
      <c r="D11" s="4" t="s">
        <v>453</v>
      </c>
      <c r="E11" s="9">
        <v>45846</v>
      </c>
      <c r="F11" s="6" t="s">
        <v>88</v>
      </c>
      <c r="G11" s="6" t="s">
        <v>7</v>
      </c>
      <c r="H11" s="9"/>
      <c r="I11" s="7" t="s">
        <v>1892</v>
      </c>
      <c r="J11" s="4"/>
      <c r="K11" s="4" t="s">
        <v>645</v>
      </c>
      <c r="L11" s="4" t="s">
        <v>1275</v>
      </c>
      <c r="M11" s="4" t="s">
        <v>644</v>
      </c>
      <c r="N11" s="6" t="s">
        <v>1271</v>
      </c>
      <c r="O11" s="6"/>
      <c r="P11" s="1"/>
    </row>
    <row r="12" spans="1:16" ht="28.9">
      <c r="A12" s="1" t="s">
        <v>1900</v>
      </c>
      <c r="B12" s="1" t="s">
        <v>1264</v>
      </c>
      <c r="C12" s="3" t="s">
        <v>449</v>
      </c>
      <c r="D12" s="4" t="s">
        <v>650</v>
      </c>
      <c r="E12" s="9">
        <v>45846</v>
      </c>
      <c r="F12" s="6" t="s">
        <v>87</v>
      </c>
      <c r="G12" s="6" t="s">
        <v>83</v>
      </c>
      <c r="H12" s="9">
        <v>45846</v>
      </c>
      <c r="I12" s="7" t="s">
        <v>1901</v>
      </c>
      <c r="J12" s="4"/>
      <c r="K12" s="4" t="s">
        <v>651</v>
      </c>
      <c r="L12" s="4" t="s">
        <v>1277</v>
      </c>
      <c r="M12" s="4" t="s">
        <v>649</v>
      </c>
      <c r="N12" s="6" t="s">
        <v>1271</v>
      </c>
      <c r="O12" s="6"/>
      <c r="P12" s="1">
        <v>0</v>
      </c>
    </row>
    <row r="13" spans="1:16" ht="28.9">
      <c r="A13" s="1" t="s">
        <v>1902</v>
      </c>
      <c r="B13" s="1" t="s">
        <v>1264</v>
      </c>
      <c r="C13" s="3" t="s">
        <v>449</v>
      </c>
      <c r="D13" s="4" t="s">
        <v>454</v>
      </c>
      <c r="E13" s="9">
        <v>45846</v>
      </c>
      <c r="F13" s="6" t="s">
        <v>88</v>
      </c>
      <c r="G13" s="6" t="s">
        <v>85</v>
      </c>
      <c r="H13" s="9"/>
      <c r="I13" s="7" t="s">
        <v>1901</v>
      </c>
      <c r="J13" s="4"/>
      <c r="K13" s="4" t="s">
        <v>655</v>
      </c>
      <c r="L13" s="4" t="s">
        <v>1280</v>
      </c>
      <c r="M13" s="4" t="s">
        <v>654</v>
      </c>
      <c r="N13" s="6" t="s">
        <v>1271</v>
      </c>
      <c r="O13" s="6"/>
      <c r="P13" s="1"/>
    </row>
    <row r="14" spans="1:16" ht="28.9">
      <c r="A14" s="1" t="s">
        <v>1903</v>
      </c>
      <c r="B14" s="1" t="s">
        <v>1264</v>
      </c>
      <c r="C14" s="3" t="s">
        <v>449</v>
      </c>
      <c r="D14" s="4" t="s">
        <v>454</v>
      </c>
      <c r="E14" s="9">
        <v>45846</v>
      </c>
      <c r="F14" s="6" t="s">
        <v>88</v>
      </c>
      <c r="G14" s="6" t="s">
        <v>84</v>
      </c>
      <c r="H14" s="9"/>
      <c r="I14" s="7" t="s">
        <v>1901</v>
      </c>
      <c r="J14" s="4"/>
      <c r="K14" s="4" t="s">
        <v>655</v>
      </c>
      <c r="L14" s="4" t="s">
        <v>1280</v>
      </c>
      <c r="M14" s="4" t="s">
        <v>654</v>
      </c>
      <c r="N14" s="6" t="s">
        <v>1271</v>
      </c>
      <c r="O14" s="6"/>
      <c r="P14" s="1"/>
    </row>
    <row r="15" spans="1:16" ht="28.9">
      <c r="A15" s="1" t="s">
        <v>1904</v>
      </c>
      <c r="B15" s="1" t="s">
        <v>1264</v>
      </c>
      <c r="C15" s="3" t="s">
        <v>449</v>
      </c>
      <c r="D15" s="4" t="s">
        <v>454</v>
      </c>
      <c r="E15" s="9">
        <v>45846</v>
      </c>
      <c r="F15" s="6" t="s">
        <v>88</v>
      </c>
      <c r="G15" s="6" t="s">
        <v>7</v>
      </c>
      <c r="H15" s="9"/>
      <c r="I15" s="7" t="s">
        <v>1901</v>
      </c>
      <c r="J15" s="4"/>
      <c r="K15" s="4" t="s">
        <v>655</v>
      </c>
      <c r="L15" s="4" t="s">
        <v>1280</v>
      </c>
      <c r="M15" s="4" t="s">
        <v>654</v>
      </c>
      <c r="N15" s="6" t="s">
        <v>1271</v>
      </c>
      <c r="O15" s="6"/>
      <c r="P15" s="1"/>
    </row>
    <row r="16" spans="1:16" ht="86.45">
      <c r="A16" s="1" t="s">
        <v>1905</v>
      </c>
      <c r="B16" s="1" t="s">
        <v>1264</v>
      </c>
      <c r="C16" s="3" t="s">
        <v>455</v>
      </c>
      <c r="D16" s="4" t="s">
        <v>456</v>
      </c>
      <c r="E16" s="9">
        <v>45846</v>
      </c>
      <c r="F16" s="6" t="s">
        <v>87</v>
      </c>
      <c r="G16" s="6" t="s">
        <v>83</v>
      </c>
      <c r="H16" s="9">
        <v>45846</v>
      </c>
      <c r="I16" s="7" t="s">
        <v>1906</v>
      </c>
      <c r="J16" s="4"/>
      <c r="K16" s="4" t="s">
        <v>659</v>
      </c>
      <c r="L16" s="4" t="s">
        <v>1284</v>
      </c>
      <c r="M16" s="4" t="s">
        <v>658</v>
      </c>
      <c r="N16" s="6" t="s">
        <v>1271</v>
      </c>
      <c r="O16" s="6"/>
      <c r="P16" s="1">
        <v>0</v>
      </c>
    </row>
    <row r="17" spans="1:16" ht="86.45">
      <c r="A17" s="1" t="s">
        <v>1907</v>
      </c>
      <c r="B17" s="1" t="s">
        <v>1264</v>
      </c>
      <c r="C17" s="3" t="s">
        <v>455</v>
      </c>
      <c r="D17" s="4" t="s">
        <v>456</v>
      </c>
      <c r="E17" s="9">
        <v>45846</v>
      </c>
      <c r="F17" s="6" t="s">
        <v>88</v>
      </c>
      <c r="G17" s="6" t="s">
        <v>85</v>
      </c>
      <c r="H17" s="9"/>
      <c r="I17" s="7" t="s">
        <v>1906</v>
      </c>
      <c r="J17" s="4"/>
      <c r="K17" s="4" t="s">
        <v>659</v>
      </c>
      <c r="L17" s="4" t="s">
        <v>1284</v>
      </c>
      <c r="M17" s="4" t="s">
        <v>658</v>
      </c>
      <c r="N17" s="6" t="s">
        <v>1271</v>
      </c>
      <c r="O17" s="6"/>
      <c r="P17" s="1"/>
    </row>
    <row r="18" spans="1:16" ht="86.45">
      <c r="A18" s="1" t="s">
        <v>1908</v>
      </c>
      <c r="B18" s="1" t="s">
        <v>1264</v>
      </c>
      <c r="C18" s="3" t="s">
        <v>455</v>
      </c>
      <c r="D18" s="4" t="s">
        <v>456</v>
      </c>
      <c r="E18" s="9">
        <v>45846</v>
      </c>
      <c r="F18" s="6" t="s">
        <v>88</v>
      </c>
      <c r="G18" s="6" t="s">
        <v>84</v>
      </c>
      <c r="H18" s="9"/>
      <c r="I18" s="7" t="s">
        <v>1906</v>
      </c>
      <c r="J18" s="4"/>
      <c r="K18" s="4" t="s">
        <v>659</v>
      </c>
      <c r="L18" s="4" t="s">
        <v>1284</v>
      </c>
      <c r="M18" s="4" t="s">
        <v>658</v>
      </c>
      <c r="N18" s="6" t="s">
        <v>1271</v>
      </c>
      <c r="O18" s="6"/>
      <c r="P18" s="1"/>
    </row>
    <row r="19" spans="1:16" ht="86.45">
      <c r="A19" s="1" t="s">
        <v>1909</v>
      </c>
      <c r="B19" s="1" t="s">
        <v>1264</v>
      </c>
      <c r="C19" s="3" t="s">
        <v>455</v>
      </c>
      <c r="D19" s="4" t="s">
        <v>456</v>
      </c>
      <c r="E19" s="9">
        <v>45846</v>
      </c>
      <c r="F19" s="6" t="s">
        <v>88</v>
      </c>
      <c r="G19" s="6" t="s">
        <v>7</v>
      </c>
      <c r="H19" s="9"/>
      <c r="I19" s="7" t="s">
        <v>1906</v>
      </c>
      <c r="J19" s="4"/>
      <c r="K19" s="4" t="s">
        <v>659</v>
      </c>
      <c r="L19" s="4" t="s">
        <v>1284</v>
      </c>
      <c r="M19" s="4" t="s">
        <v>658</v>
      </c>
      <c r="N19" s="6" t="s">
        <v>1271</v>
      </c>
      <c r="O19" s="6"/>
      <c r="P19" s="1"/>
    </row>
    <row r="20" spans="1:16" ht="100.9">
      <c r="A20" s="1" t="s">
        <v>1910</v>
      </c>
      <c r="B20" s="1" t="s">
        <v>1264</v>
      </c>
      <c r="C20" s="3" t="s">
        <v>455</v>
      </c>
      <c r="D20" s="4" t="s">
        <v>457</v>
      </c>
      <c r="E20" s="9">
        <v>45846</v>
      </c>
      <c r="F20" s="6" t="s">
        <v>87</v>
      </c>
      <c r="G20" s="6" t="s">
        <v>83</v>
      </c>
      <c r="H20" s="9">
        <v>45846</v>
      </c>
      <c r="I20" s="7" t="s">
        <v>1911</v>
      </c>
      <c r="J20" s="4"/>
      <c r="K20" s="4" t="s">
        <v>664</v>
      </c>
      <c r="L20" s="4" t="s">
        <v>1288</v>
      </c>
      <c r="M20" s="4" t="s">
        <v>663</v>
      </c>
      <c r="N20" s="6" t="s">
        <v>1271</v>
      </c>
      <c r="O20" s="6"/>
      <c r="P20" s="1">
        <v>0</v>
      </c>
    </row>
    <row r="21" spans="1:16" ht="100.9">
      <c r="A21" s="1" t="s">
        <v>1912</v>
      </c>
      <c r="B21" s="1" t="s">
        <v>1264</v>
      </c>
      <c r="C21" s="3" t="s">
        <v>455</v>
      </c>
      <c r="D21" s="4" t="s">
        <v>457</v>
      </c>
      <c r="E21" s="9">
        <v>45846</v>
      </c>
      <c r="F21" s="6" t="s">
        <v>88</v>
      </c>
      <c r="G21" s="6" t="s">
        <v>85</v>
      </c>
      <c r="H21" s="9"/>
      <c r="I21" s="7" t="s">
        <v>1911</v>
      </c>
      <c r="J21" s="4"/>
      <c r="K21" s="4" t="s">
        <v>664</v>
      </c>
      <c r="L21" s="4" t="s">
        <v>1288</v>
      </c>
      <c r="M21" s="4" t="s">
        <v>663</v>
      </c>
      <c r="N21" s="6" t="s">
        <v>1271</v>
      </c>
      <c r="O21" s="6"/>
      <c r="P21" s="1"/>
    </row>
    <row r="22" spans="1:16" ht="100.9">
      <c r="A22" s="1" t="s">
        <v>1913</v>
      </c>
      <c r="B22" s="1" t="s">
        <v>1264</v>
      </c>
      <c r="C22" s="3" t="s">
        <v>455</v>
      </c>
      <c r="D22" s="4" t="s">
        <v>457</v>
      </c>
      <c r="E22" s="9">
        <v>45846</v>
      </c>
      <c r="F22" s="6" t="s">
        <v>88</v>
      </c>
      <c r="G22" s="6" t="s">
        <v>84</v>
      </c>
      <c r="H22" s="9"/>
      <c r="I22" s="7" t="s">
        <v>1911</v>
      </c>
      <c r="J22" s="4"/>
      <c r="K22" s="4" t="s">
        <v>664</v>
      </c>
      <c r="L22" s="4" t="s">
        <v>1288</v>
      </c>
      <c r="M22" s="4" t="s">
        <v>663</v>
      </c>
      <c r="N22" s="6" t="s">
        <v>1271</v>
      </c>
      <c r="O22" s="6"/>
      <c r="P22" s="1"/>
    </row>
    <row r="23" spans="1:16" ht="43.15">
      <c r="A23" s="1" t="s">
        <v>1914</v>
      </c>
      <c r="B23" s="1" t="s">
        <v>1264</v>
      </c>
      <c r="C23" s="3" t="s">
        <v>455</v>
      </c>
      <c r="D23" s="4" t="s">
        <v>458</v>
      </c>
      <c r="E23" s="9">
        <v>45846</v>
      </c>
      <c r="F23" s="6" t="s">
        <v>87</v>
      </c>
      <c r="G23" s="6" t="s">
        <v>83</v>
      </c>
      <c r="H23" s="9">
        <v>45846</v>
      </c>
      <c r="I23" s="7" t="s">
        <v>1915</v>
      </c>
      <c r="J23" s="4"/>
      <c r="K23" s="4" t="s">
        <v>1290</v>
      </c>
      <c r="L23" s="4" t="s">
        <v>1291</v>
      </c>
      <c r="M23" s="4" t="s">
        <v>667</v>
      </c>
      <c r="N23" s="6" t="s">
        <v>1271</v>
      </c>
      <c r="O23" s="6"/>
      <c r="P23" s="1">
        <v>0</v>
      </c>
    </row>
    <row r="24" spans="1:16" ht="43.15">
      <c r="A24" s="1" t="s">
        <v>1916</v>
      </c>
      <c r="B24" s="1" t="s">
        <v>1264</v>
      </c>
      <c r="C24" s="3" t="s">
        <v>455</v>
      </c>
      <c r="D24" s="4" t="s">
        <v>458</v>
      </c>
      <c r="E24" s="9">
        <v>45846</v>
      </c>
      <c r="F24" s="6" t="s">
        <v>88</v>
      </c>
      <c r="G24" s="6" t="s">
        <v>85</v>
      </c>
      <c r="H24" s="9"/>
      <c r="I24" s="7" t="s">
        <v>1915</v>
      </c>
      <c r="J24" s="4"/>
      <c r="K24" s="4" t="s">
        <v>1290</v>
      </c>
      <c r="L24" s="4" t="s">
        <v>1291</v>
      </c>
      <c r="M24" s="4" t="s">
        <v>667</v>
      </c>
      <c r="N24" s="6" t="s">
        <v>1271</v>
      </c>
      <c r="O24" s="6"/>
      <c r="P24" s="1"/>
    </row>
    <row r="25" spans="1:16" ht="43.15">
      <c r="A25" s="1" t="s">
        <v>1917</v>
      </c>
      <c r="B25" s="1" t="s">
        <v>1264</v>
      </c>
      <c r="C25" s="3" t="s">
        <v>455</v>
      </c>
      <c r="D25" s="4" t="s">
        <v>458</v>
      </c>
      <c r="E25" s="9">
        <v>45846</v>
      </c>
      <c r="F25" s="6" t="s">
        <v>88</v>
      </c>
      <c r="G25" s="6" t="s">
        <v>84</v>
      </c>
      <c r="H25" s="9"/>
      <c r="I25" s="7" t="s">
        <v>1915</v>
      </c>
      <c r="J25" s="4"/>
      <c r="K25" s="4" t="s">
        <v>1290</v>
      </c>
      <c r="L25" s="4" t="s">
        <v>1291</v>
      </c>
      <c r="M25" s="4" t="s">
        <v>667</v>
      </c>
      <c r="N25" s="6" t="s">
        <v>1271</v>
      </c>
      <c r="O25" s="6"/>
      <c r="P25" s="1"/>
    </row>
    <row r="26" spans="1:16" ht="28.9">
      <c r="A26" s="1" t="s">
        <v>1918</v>
      </c>
      <c r="B26" s="1" t="s">
        <v>1264</v>
      </c>
      <c r="C26" s="3" t="s">
        <v>455</v>
      </c>
      <c r="D26" s="4" t="s">
        <v>459</v>
      </c>
      <c r="E26" s="9">
        <v>45846</v>
      </c>
      <c r="F26" s="6" t="s">
        <v>88</v>
      </c>
      <c r="G26" s="6" t="s">
        <v>85</v>
      </c>
      <c r="H26" s="9"/>
      <c r="I26" s="7" t="s">
        <v>1919</v>
      </c>
      <c r="J26" s="4"/>
      <c r="K26" s="4" t="s">
        <v>674</v>
      </c>
      <c r="L26" s="4" t="s">
        <v>1294</v>
      </c>
      <c r="M26" s="4" t="s">
        <v>672</v>
      </c>
      <c r="N26" s="6" t="s">
        <v>1271</v>
      </c>
      <c r="O26" s="6"/>
      <c r="P26" s="1"/>
    </row>
    <row r="27" spans="1:16" ht="28.9">
      <c r="A27" s="1" t="s">
        <v>1920</v>
      </c>
      <c r="B27" s="1" t="s">
        <v>1264</v>
      </c>
      <c r="C27" s="3" t="s">
        <v>455</v>
      </c>
      <c r="D27" s="4" t="s">
        <v>459</v>
      </c>
      <c r="E27" s="9">
        <v>45846</v>
      </c>
      <c r="F27" s="6" t="s">
        <v>88</v>
      </c>
      <c r="G27" s="6" t="s">
        <v>84</v>
      </c>
      <c r="H27" s="9"/>
      <c r="I27" s="7" t="s">
        <v>1919</v>
      </c>
      <c r="J27" s="4"/>
      <c r="K27" s="4" t="s">
        <v>674</v>
      </c>
      <c r="L27" s="4" t="s">
        <v>1294</v>
      </c>
      <c r="M27" s="4" t="s">
        <v>672</v>
      </c>
      <c r="N27" s="6" t="s">
        <v>1271</v>
      </c>
      <c r="O27" s="6"/>
      <c r="P27" s="1"/>
    </row>
    <row r="28" spans="1:16" ht="28.9">
      <c r="A28" s="1" t="s">
        <v>1921</v>
      </c>
      <c r="B28" s="1" t="s">
        <v>1264</v>
      </c>
      <c r="C28" s="3" t="s">
        <v>455</v>
      </c>
      <c r="D28" s="4" t="s">
        <v>460</v>
      </c>
      <c r="E28" s="9">
        <v>45846</v>
      </c>
      <c r="F28" s="6" t="s">
        <v>88</v>
      </c>
      <c r="G28" s="6" t="s">
        <v>7</v>
      </c>
      <c r="H28" s="9"/>
      <c r="I28" s="7" t="s">
        <v>1919</v>
      </c>
      <c r="J28" s="4"/>
      <c r="K28" s="4" t="s">
        <v>678</v>
      </c>
      <c r="L28" s="4" t="s">
        <v>1295</v>
      </c>
      <c r="M28" s="4" t="s">
        <v>677</v>
      </c>
      <c r="N28" s="6" t="s">
        <v>1271</v>
      </c>
      <c r="O28" s="6"/>
      <c r="P28" s="1"/>
    </row>
    <row r="29" spans="1:16" ht="28.9">
      <c r="A29" s="1" t="s">
        <v>1922</v>
      </c>
      <c r="B29" s="1" t="s">
        <v>1264</v>
      </c>
      <c r="C29" s="3" t="s">
        <v>461</v>
      </c>
      <c r="D29" s="4" t="s">
        <v>686</v>
      </c>
      <c r="E29" s="9">
        <v>45846</v>
      </c>
      <c r="F29" s="6" t="s">
        <v>87</v>
      </c>
      <c r="G29" s="6" t="s">
        <v>83</v>
      </c>
      <c r="H29" s="9">
        <v>45846</v>
      </c>
      <c r="I29" s="7" t="s">
        <v>1923</v>
      </c>
      <c r="J29" s="4"/>
      <c r="K29" s="4" t="s">
        <v>687</v>
      </c>
      <c r="L29" s="4" t="s">
        <v>1304</v>
      </c>
      <c r="M29" s="4" t="s">
        <v>685</v>
      </c>
      <c r="N29" s="6" t="s">
        <v>1271</v>
      </c>
      <c r="O29" s="6"/>
      <c r="P29" s="1">
        <v>0</v>
      </c>
    </row>
    <row r="30" spans="1:16" ht="43.15">
      <c r="A30" s="1" t="s">
        <v>1924</v>
      </c>
      <c r="B30" s="1" t="s">
        <v>1264</v>
      </c>
      <c r="C30" s="3" t="s">
        <v>461</v>
      </c>
      <c r="D30" s="4" t="s">
        <v>462</v>
      </c>
      <c r="E30" s="9">
        <v>45846</v>
      </c>
      <c r="F30" s="6" t="s">
        <v>89</v>
      </c>
      <c r="G30" s="6" t="s">
        <v>7</v>
      </c>
      <c r="H30" s="9"/>
      <c r="I30" s="7" t="s">
        <v>1925</v>
      </c>
      <c r="J30" s="4"/>
      <c r="K30" s="4" t="s">
        <v>692</v>
      </c>
      <c r="L30" s="4" t="s">
        <v>1307</v>
      </c>
      <c r="M30" s="4" t="s">
        <v>691</v>
      </c>
      <c r="N30" s="6" t="s">
        <v>1271</v>
      </c>
      <c r="O30" s="6"/>
      <c r="P30" s="1"/>
    </row>
    <row r="31" spans="1:16" ht="129.6">
      <c r="A31" s="1" t="s">
        <v>1926</v>
      </c>
      <c r="B31" s="1" t="s">
        <v>1264</v>
      </c>
      <c r="C31" s="3" t="s">
        <v>463</v>
      </c>
      <c r="D31" s="4" t="s">
        <v>464</v>
      </c>
      <c r="E31" s="9">
        <v>45846</v>
      </c>
      <c r="F31" s="6" t="s">
        <v>88</v>
      </c>
      <c r="G31" s="6" t="s">
        <v>7</v>
      </c>
      <c r="H31" s="9"/>
      <c r="I31" s="7" t="s">
        <v>1927</v>
      </c>
      <c r="J31" s="4"/>
      <c r="K31" s="4" t="s">
        <v>696</v>
      </c>
      <c r="L31" s="4" t="s">
        <v>1312</v>
      </c>
      <c r="M31" s="4" t="s">
        <v>695</v>
      </c>
      <c r="N31" s="6" t="s">
        <v>1271</v>
      </c>
      <c r="O31" s="6"/>
      <c r="P31" s="1"/>
    </row>
    <row r="32" spans="1:16" ht="129.6">
      <c r="A32" s="1" t="s">
        <v>1928</v>
      </c>
      <c r="B32" s="1" t="s">
        <v>1264</v>
      </c>
      <c r="C32" s="3" t="s">
        <v>463</v>
      </c>
      <c r="D32" s="4" t="s">
        <v>465</v>
      </c>
      <c r="E32" s="9">
        <v>45846</v>
      </c>
      <c r="F32" s="6" t="s">
        <v>87</v>
      </c>
      <c r="G32" s="6" t="s">
        <v>83</v>
      </c>
      <c r="H32" s="9">
        <v>45846</v>
      </c>
      <c r="I32" s="7" t="s">
        <v>1927</v>
      </c>
      <c r="J32" s="4"/>
      <c r="K32" s="4" t="s">
        <v>700</v>
      </c>
      <c r="L32" s="4" t="s">
        <v>1314</v>
      </c>
      <c r="M32" s="4" t="s">
        <v>699</v>
      </c>
      <c r="N32" s="6" t="s">
        <v>1271</v>
      </c>
      <c r="O32" s="6"/>
      <c r="P32" s="1">
        <v>0</v>
      </c>
    </row>
    <row r="33" spans="1:16" ht="129.6">
      <c r="A33" s="1" t="s">
        <v>1929</v>
      </c>
      <c r="B33" s="1" t="s">
        <v>1264</v>
      </c>
      <c r="C33" s="3" t="s">
        <v>463</v>
      </c>
      <c r="D33" s="4" t="s">
        <v>465</v>
      </c>
      <c r="E33" s="9">
        <v>45846</v>
      </c>
      <c r="F33" s="6" t="s">
        <v>88</v>
      </c>
      <c r="G33" s="6" t="s">
        <v>7</v>
      </c>
      <c r="H33" s="9"/>
      <c r="I33" s="7" t="s">
        <v>1927</v>
      </c>
      <c r="J33" s="4"/>
      <c r="K33" s="4" t="s">
        <v>700</v>
      </c>
      <c r="L33" s="4" t="s">
        <v>1314</v>
      </c>
      <c r="M33" s="4" t="s">
        <v>699</v>
      </c>
      <c r="N33" s="6" t="s">
        <v>1271</v>
      </c>
      <c r="O33" s="6"/>
      <c r="P33" s="1"/>
    </row>
    <row r="34" spans="1:16">
      <c r="A34" s="1" t="s">
        <v>1930</v>
      </c>
      <c r="B34" s="1" t="s">
        <v>1264</v>
      </c>
      <c r="C34" s="3" t="s">
        <v>463</v>
      </c>
      <c r="D34" s="4" t="s">
        <v>466</v>
      </c>
      <c r="E34" s="9">
        <v>45846</v>
      </c>
      <c r="F34" s="6" t="s">
        <v>88</v>
      </c>
      <c r="G34" s="6" t="s">
        <v>7</v>
      </c>
      <c r="H34" s="9"/>
      <c r="I34" s="7"/>
      <c r="J34" s="4"/>
      <c r="K34" s="4" t="s">
        <v>704</v>
      </c>
      <c r="L34" s="4" t="s">
        <v>1317</v>
      </c>
      <c r="M34" s="4" t="s">
        <v>703</v>
      </c>
      <c r="N34" s="6" t="s">
        <v>1271</v>
      </c>
      <c r="O34" s="6"/>
      <c r="P34" s="1"/>
    </row>
    <row r="35" spans="1:16">
      <c r="A35" s="1" t="s">
        <v>1931</v>
      </c>
      <c r="B35" s="1" t="s">
        <v>1264</v>
      </c>
      <c r="C35" s="3" t="s">
        <v>463</v>
      </c>
      <c r="D35" s="4" t="s">
        <v>466</v>
      </c>
      <c r="E35" s="9">
        <v>45846</v>
      </c>
      <c r="F35" s="6" t="s">
        <v>87</v>
      </c>
      <c r="G35" s="6" t="s">
        <v>83</v>
      </c>
      <c r="H35" s="9">
        <v>45846</v>
      </c>
      <c r="I35" s="7"/>
      <c r="J35" s="4"/>
      <c r="K35" s="4" t="s">
        <v>704</v>
      </c>
      <c r="L35" s="4" t="s">
        <v>1317</v>
      </c>
      <c r="M35" s="4" t="s">
        <v>703</v>
      </c>
      <c r="N35" s="6" t="s">
        <v>1271</v>
      </c>
      <c r="O35" s="6"/>
      <c r="P35" s="1">
        <v>0</v>
      </c>
    </row>
    <row r="36" spans="1:16" ht="86.45">
      <c r="A36" s="1" t="s">
        <v>1932</v>
      </c>
      <c r="B36" s="1" t="s">
        <v>1264</v>
      </c>
      <c r="C36" s="3" t="s">
        <v>463</v>
      </c>
      <c r="D36" s="4" t="s">
        <v>467</v>
      </c>
      <c r="E36" s="9">
        <v>45846</v>
      </c>
      <c r="F36" s="6" t="s">
        <v>88</v>
      </c>
      <c r="G36" s="6" t="s">
        <v>7</v>
      </c>
      <c r="H36" s="9"/>
      <c r="I36" s="7" t="s">
        <v>1933</v>
      </c>
      <c r="J36" s="4"/>
      <c r="K36" s="4"/>
      <c r="L36" s="4"/>
      <c r="M36" s="4" t="s">
        <v>1319</v>
      </c>
      <c r="N36" s="6" t="s">
        <v>1271</v>
      </c>
      <c r="O36" s="6"/>
      <c r="P36" s="1"/>
    </row>
    <row r="37" spans="1:16" ht="100.9">
      <c r="A37" s="1" t="s">
        <v>1934</v>
      </c>
      <c r="B37" s="1" t="s">
        <v>1264</v>
      </c>
      <c r="C37" s="3" t="s">
        <v>463</v>
      </c>
      <c r="D37" s="4" t="s">
        <v>468</v>
      </c>
      <c r="E37" s="9">
        <v>45846</v>
      </c>
      <c r="F37" s="6" t="s">
        <v>88</v>
      </c>
      <c r="G37" s="6" t="s">
        <v>7</v>
      </c>
      <c r="H37" s="9"/>
      <c r="I37" s="7" t="s">
        <v>1935</v>
      </c>
      <c r="J37" s="4"/>
      <c r="K37" s="4"/>
      <c r="L37" s="4"/>
      <c r="M37" s="4" t="s">
        <v>1325</v>
      </c>
      <c r="N37" s="6" t="s">
        <v>1271</v>
      </c>
      <c r="O37" s="6"/>
      <c r="P37" s="1"/>
    </row>
    <row r="38" spans="1:16" ht="129.6">
      <c r="A38" s="1" t="s">
        <v>1936</v>
      </c>
      <c r="B38" s="1" t="s">
        <v>1264</v>
      </c>
      <c r="C38" s="3" t="s">
        <v>469</v>
      </c>
      <c r="D38" s="4" t="s">
        <v>470</v>
      </c>
      <c r="E38" s="9">
        <v>45846</v>
      </c>
      <c r="F38" s="6" t="s">
        <v>88</v>
      </c>
      <c r="G38" s="6" t="s">
        <v>7</v>
      </c>
      <c r="H38" s="9"/>
      <c r="I38" s="7" t="s">
        <v>1937</v>
      </c>
      <c r="J38" s="4"/>
      <c r="K38" s="4" t="s">
        <v>708</v>
      </c>
      <c r="L38" s="4" t="s">
        <v>1328</v>
      </c>
      <c r="M38" s="4" t="s">
        <v>707</v>
      </c>
      <c r="N38" s="6" t="s">
        <v>1271</v>
      </c>
      <c r="O38" s="6"/>
      <c r="P38" s="1"/>
    </row>
    <row r="39" spans="1:16" ht="129.6">
      <c r="A39" s="1" t="s">
        <v>1938</v>
      </c>
      <c r="B39" s="1" t="s">
        <v>1264</v>
      </c>
      <c r="C39" s="3" t="s">
        <v>469</v>
      </c>
      <c r="D39" s="4" t="s">
        <v>471</v>
      </c>
      <c r="E39" s="9">
        <v>45846</v>
      </c>
      <c r="F39" s="6" t="s">
        <v>89</v>
      </c>
      <c r="G39" s="6" t="s">
        <v>7</v>
      </c>
      <c r="H39" s="9"/>
      <c r="I39" s="7" t="s">
        <v>1939</v>
      </c>
      <c r="J39" s="4"/>
      <c r="K39" s="4"/>
      <c r="L39" s="4"/>
      <c r="M39" s="4" t="s">
        <v>1330</v>
      </c>
      <c r="N39" s="6" t="s">
        <v>1271</v>
      </c>
      <c r="O39" s="6"/>
      <c r="P39" s="1"/>
    </row>
    <row r="40" spans="1:16" ht="86.45">
      <c r="A40" s="1" t="s">
        <v>1940</v>
      </c>
      <c r="B40" s="1" t="s">
        <v>1264</v>
      </c>
      <c r="C40" s="3" t="s">
        <v>469</v>
      </c>
      <c r="D40" s="4" t="s">
        <v>472</v>
      </c>
      <c r="E40" s="9">
        <v>45846</v>
      </c>
      <c r="F40" s="6" t="s">
        <v>89</v>
      </c>
      <c r="G40" s="6" t="s">
        <v>7</v>
      </c>
      <c r="H40" s="9"/>
      <c r="I40" s="7" t="s">
        <v>1941</v>
      </c>
      <c r="J40" s="4"/>
      <c r="K40" s="4"/>
      <c r="L40" s="4"/>
      <c r="M40" s="4" t="s">
        <v>1331</v>
      </c>
      <c r="N40" s="6" t="s">
        <v>1271</v>
      </c>
      <c r="O40" s="6"/>
      <c r="P40" s="1"/>
    </row>
    <row r="41" spans="1:16" ht="115.15">
      <c r="A41" s="1" t="s">
        <v>1942</v>
      </c>
      <c r="B41" s="1" t="s">
        <v>1264</v>
      </c>
      <c r="C41" s="3" t="s">
        <v>473</v>
      </c>
      <c r="D41" s="4" t="s">
        <v>474</v>
      </c>
      <c r="E41" s="9">
        <v>45846</v>
      </c>
      <c r="F41" s="6" t="s">
        <v>88</v>
      </c>
      <c r="G41" s="6" t="s">
        <v>7</v>
      </c>
      <c r="H41" s="9"/>
      <c r="I41" s="7" t="s">
        <v>1943</v>
      </c>
      <c r="J41" s="4"/>
      <c r="K41" s="4" t="s">
        <v>713</v>
      </c>
      <c r="L41" s="4" t="s">
        <v>1333</v>
      </c>
      <c r="M41" s="4" t="s">
        <v>712</v>
      </c>
      <c r="N41" s="6" t="s">
        <v>1271</v>
      </c>
      <c r="O41" s="6"/>
      <c r="P41" s="1"/>
    </row>
    <row r="42" spans="1:16" ht="72">
      <c r="A42" s="1" t="s">
        <v>1944</v>
      </c>
      <c r="B42" s="1" t="s">
        <v>1264</v>
      </c>
      <c r="C42" s="3" t="s">
        <v>475</v>
      </c>
      <c r="D42" s="4" t="s">
        <v>476</v>
      </c>
      <c r="E42" s="9">
        <v>45846</v>
      </c>
      <c r="F42" s="6" t="s">
        <v>88</v>
      </c>
      <c r="G42" s="6" t="s">
        <v>7</v>
      </c>
      <c r="H42" s="9"/>
      <c r="I42" s="7" t="s">
        <v>1945</v>
      </c>
      <c r="J42" s="4"/>
      <c r="K42" s="4" t="s">
        <v>708</v>
      </c>
      <c r="L42" s="4" t="s">
        <v>1328</v>
      </c>
      <c r="M42" s="4" t="s">
        <v>716</v>
      </c>
      <c r="N42" s="6" t="s">
        <v>1271</v>
      </c>
      <c r="O42" s="6"/>
      <c r="P42" s="1"/>
    </row>
    <row r="43" spans="1:16" ht="100.9">
      <c r="A43" s="1" t="s">
        <v>1946</v>
      </c>
      <c r="B43" s="1" t="s">
        <v>1264</v>
      </c>
      <c r="C43" s="3" t="s">
        <v>477</v>
      </c>
      <c r="D43" s="4" t="s">
        <v>478</v>
      </c>
      <c r="E43" s="9">
        <v>45846</v>
      </c>
      <c r="F43" s="6" t="s">
        <v>89</v>
      </c>
      <c r="G43" s="6" t="s">
        <v>85</v>
      </c>
      <c r="H43" s="9"/>
      <c r="I43" s="7" t="s">
        <v>1947</v>
      </c>
      <c r="J43" s="4"/>
      <c r="K43" s="4" t="s">
        <v>1338</v>
      </c>
      <c r="L43" s="4" t="s">
        <v>1340</v>
      </c>
      <c r="M43" s="4" t="s">
        <v>724</v>
      </c>
      <c r="N43" s="6" t="s">
        <v>1271</v>
      </c>
      <c r="O43" s="6"/>
      <c r="P43" s="1"/>
    </row>
    <row r="44" spans="1:16" ht="100.9">
      <c r="A44" s="1" t="s">
        <v>1948</v>
      </c>
      <c r="B44" s="1" t="s">
        <v>1264</v>
      </c>
      <c r="C44" s="3" t="s">
        <v>477</v>
      </c>
      <c r="D44" s="4" t="s">
        <v>478</v>
      </c>
      <c r="E44" s="9">
        <v>45846</v>
      </c>
      <c r="F44" s="6" t="s">
        <v>89</v>
      </c>
      <c r="G44" s="6" t="s">
        <v>7</v>
      </c>
      <c r="H44" s="9"/>
      <c r="I44" s="7" t="s">
        <v>1947</v>
      </c>
      <c r="J44" s="4"/>
      <c r="K44" s="4" t="s">
        <v>1338</v>
      </c>
      <c r="L44" s="4" t="s">
        <v>1340</v>
      </c>
      <c r="M44" s="4" t="s">
        <v>724</v>
      </c>
      <c r="N44" s="6" t="s">
        <v>1271</v>
      </c>
      <c r="O44" s="6"/>
      <c r="P44" s="1"/>
    </row>
    <row r="45" spans="1:16" ht="115.15">
      <c r="A45" s="1" t="s">
        <v>1949</v>
      </c>
      <c r="B45" s="1" t="s">
        <v>1264</v>
      </c>
      <c r="C45" s="3" t="s">
        <v>479</v>
      </c>
      <c r="D45" s="4" t="s">
        <v>480</v>
      </c>
      <c r="E45" s="9">
        <v>45846</v>
      </c>
      <c r="F45" s="6" t="s">
        <v>88</v>
      </c>
      <c r="G45" s="6" t="s">
        <v>7</v>
      </c>
      <c r="H45" s="9"/>
      <c r="I45" s="7" t="s">
        <v>1950</v>
      </c>
      <c r="J45" s="4"/>
      <c r="K45" s="4" t="s">
        <v>734</v>
      </c>
      <c r="L45" s="4" t="s">
        <v>1345</v>
      </c>
      <c r="M45" s="4" t="s">
        <v>733</v>
      </c>
      <c r="N45" s="6" t="s">
        <v>1271</v>
      </c>
      <c r="O45" s="6"/>
      <c r="P45" s="1"/>
    </row>
    <row r="46" spans="1:16" ht="86.45">
      <c r="A46" s="1" t="s">
        <v>1951</v>
      </c>
      <c r="B46" s="1" t="s">
        <v>1264</v>
      </c>
      <c r="C46" s="3" t="s">
        <v>479</v>
      </c>
      <c r="D46" s="4" t="s">
        <v>481</v>
      </c>
      <c r="E46" s="9">
        <v>45846</v>
      </c>
      <c r="F46" s="6" t="s">
        <v>89</v>
      </c>
      <c r="G46" s="6" t="s">
        <v>84</v>
      </c>
      <c r="H46" s="9"/>
      <c r="I46" s="7" t="s">
        <v>1952</v>
      </c>
      <c r="J46" s="4"/>
      <c r="K46" s="4" t="s">
        <v>739</v>
      </c>
      <c r="L46" s="4" t="s">
        <v>1347</v>
      </c>
      <c r="M46" s="4" t="s">
        <v>737</v>
      </c>
      <c r="N46" s="6" t="s">
        <v>1271</v>
      </c>
      <c r="O46" s="6"/>
      <c r="P46" s="1"/>
    </row>
    <row r="47" spans="1:16" ht="86.45">
      <c r="A47" s="1" t="s">
        <v>1953</v>
      </c>
      <c r="B47" s="1" t="s">
        <v>1264</v>
      </c>
      <c r="C47" s="3" t="s">
        <v>479</v>
      </c>
      <c r="D47" s="4" t="s">
        <v>481</v>
      </c>
      <c r="E47" s="9">
        <v>45846</v>
      </c>
      <c r="F47" s="6" t="s">
        <v>89</v>
      </c>
      <c r="G47" s="6" t="s">
        <v>7</v>
      </c>
      <c r="H47" s="9"/>
      <c r="I47" s="7" t="s">
        <v>1952</v>
      </c>
      <c r="J47" s="4"/>
      <c r="K47" s="4" t="s">
        <v>739</v>
      </c>
      <c r="L47" s="4" t="s">
        <v>1347</v>
      </c>
      <c r="M47" s="4" t="s">
        <v>737</v>
      </c>
      <c r="N47" s="6" t="s">
        <v>1271</v>
      </c>
      <c r="O47" s="6"/>
      <c r="P47" s="1"/>
    </row>
    <row r="48" spans="1:16" ht="115.15">
      <c r="A48" s="1" t="s">
        <v>1954</v>
      </c>
      <c r="B48" s="1" t="s">
        <v>1264</v>
      </c>
      <c r="C48" s="3" t="s">
        <v>479</v>
      </c>
      <c r="D48" s="4" t="s">
        <v>482</v>
      </c>
      <c r="E48" s="9">
        <v>45846</v>
      </c>
      <c r="F48" s="6" t="s">
        <v>88</v>
      </c>
      <c r="G48" s="6" t="s">
        <v>7</v>
      </c>
      <c r="H48" s="9"/>
      <c r="I48" s="7" t="s">
        <v>1955</v>
      </c>
      <c r="J48" s="4"/>
      <c r="K48" s="4"/>
      <c r="L48" s="4"/>
      <c r="M48" s="4" t="s">
        <v>1349</v>
      </c>
      <c r="N48" s="6" t="s">
        <v>1271</v>
      </c>
      <c r="O48" s="6"/>
      <c r="P48" s="1"/>
    </row>
    <row r="49" spans="1:16" ht="115.15">
      <c r="A49" s="1" t="s">
        <v>1956</v>
      </c>
      <c r="B49" s="1" t="s">
        <v>1264</v>
      </c>
      <c r="C49" s="3" t="s">
        <v>479</v>
      </c>
      <c r="D49" s="4" t="s">
        <v>483</v>
      </c>
      <c r="E49" s="9">
        <v>45846</v>
      </c>
      <c r="F49" s="6" t="s">
        <v>88</v>
      </c>
      <c r="G49" s="6" t="s">
        <v>84</v>
      </c>
      <c r="H49" s="9"/>
      <c r="I49" s="7" t="s">
        <v>1957</v>
      </c>
      <c r="J49" s="4"/>
      <c r="K49" s="4"/>
      <c r="L49" s="4"/>
      <c r="M49" s="4" t="s">
        <v>1350</v>
      </c>
      <c r="N49" s="6" t="s">
        <v>1271</v>
      </c>
      <c r="O49" s="6"/>
      <c r="P49" s="1"/>
    </row>
    <row r="50" spans="1:16" ht="115.15">
      <c r="A50" s="1" t="s">
        <v>1958</v>
      </c>
      <c r="B50" s="1" t="s">
        <v>1264</v>
      </c>
      <c r="C50" s="3" t="s">
        <v>479</v>
      </c>
      <c r="D50" s="4" t="s">
        <v>483</v>
      </c>
      <c r="E50" s="9">
        <v>45846</v>
      </c>
      <c r="F50" s="6" t="s">
        <v>88</v>
      </c>
      <c r="G50" s="6" t="s">
        <v>7</v>
      </c>
      <c r="H50" s="9"/>
      <c r="I50" s="7" t="s">
        <v>1957</v>
      </c>
      <c r="J50" s="4"/>
      <c r="K50" s="4"/>
      <c r="L50" s="4"/>
      <c r="M50" s="4" t="s">
        <v>1350</v>
      </c>
      <c r="N50" s="6" t="s">
        <v>1271</v>
      </c>
      <c r="O50" s="6"/>
      <c r="P50" s="1"/>
    </row>
    <row r="51" spans="1:16" ht="129.6">
      <c r="A51" s="1" t="s">
        <v>1959</v>
      </c>
      <c r="B51" s="1" t="s">
        <v>1264</v>
      </c>
      <c r="C51" s="3" t="s">
        <v>479</v>
      </c>
      <c r="D51" s="4" t="s">
        <v>484</v>
      </c>
      <c r="E51" s="9">
        <v>45846</v>
      </c>
      <c r="F51" s="6" t="s">
        <v>88</v>
      </c>
      <c r="G51" s="6" t="s">
        <v>7</v>
      </c>
      <c r="H51" s="9"/>
      <c r="I51" s="7" t="s">
        <v>1960</v>
      </c>
      <c r="J51" s="4"/>
      <c r="K51" s="4"/>
      <c r="L51" s="4"/>
      <c r="M51" s="4" t="s">
        <v>1351</v>
      </c>
      <c r="N51" s="6" t="s">
        <v>1271</v>
      </c>
      <c r="O51" s="6"/>
      <c r="P51" s="1"/>
    </row>
    <row r="52" spans="1:16" ht="86.45">
      <c r="A52" s="1" t="s">
        <v>1961</v>
      </c>
      <c r="B52" s="1" t="s">
        <v>1264</v>
      </c>
      <c r="C52" s="3" t="s">
        <v>479</v>
      </c>
      <c r="D52" s="4" t="s">
        <v>485</v>
      </c>
      <c r="E52" s="9">
        <v>45846</v>
      </c>
      <c r="F52" s="6" t="s">
        <v>88</v>
      </c>
      <c r="G52" s="6" t="s">
        <v>84</v>
      </c>
      <c r="H52" s="9"/>
      <c r="I52" s="7" t="s">
        <v>1962</v>
      </c>
      <c r="J52" s="4"/>
      <c r="K52" s="4"/>
      <c r="L52" s="4"/>
      <c r="M52" s="4" t="s">
        <v>1352</v>
      </c>
      <c r="N52" s="6" t="s">
        <v>1271</v>
      </c>
      <c r="O52" s="6"/>
      <c r="P52" s="1"/>
    </row>
    <row r="53" spans="1:16" ht="86.45">
      <c r="A53" s="1" t="s">
        <v>1963</v>
      </c>
      <c r="B53" s="1" t="s">
        <v>1264</v>
      </c>
      <c r="C53" s="3" t="s">
        <v>479</v>
      </c>
      <c r="D53" s="4" t="s">
        <v>485</v>
      </c>
      <c r="E53" s="9">
        <v>45846</v>
      </c>
      <c r="F53" s="6" t="s">
        <v>88</v>
      </c>
      <c r="G53" s="6" t="s">
        <v>7</v>
      </c>
      <c r="H53" s="9"/>
      <c r="I53" s="7" t="s">
        <v>1962</v>
      </c>
      <c r="J53" s="4"/>
      <c r="K53" s="4"/>
      <c r="L53" s="4"/>
      <c r="M53" s="4" t="s">
        <v>1352</v>
      </c>
      <c r="N53" s="6" t="s">
        <v>1271</v>
      </c>
      <c r="O53" s="6"/>
      <c r="P53" s="1"/>
    </row>
    <row r="54" spans="1:16" ht="43.15">
      <c r="A54" s="1" t="s">
        <v>1964</v>
      </c>
      <c r="B54" s="1" t="s">
        <v>1264</v>
      </c>
      <c r="C54" s="3" t="s">
        <v>486</v>
      </c>
      <c r="D54" s="4" t="s">
        <v>1359</v>
      </c>
      <c r="E54" s="9">
        <v>45846</v>
      </c>
      <c r="F54" s="6" t="s">
        <v>87</v>
      </c>
      <c r="G54" s="6" t="s">
        <v>83</v>
      </c>
      <c r="H54" s="9">
        <v>45846</v>
      </c>
      <c r="I54" s="7" t="s">
        <v>1965</v>
      </c>
      <c r="J54" s="4"/>
      <c r="K54" s="4" t="s">
        <v>760</v>
      </c>
      <c r="L54" s="4" t="s">
        <v>1360</v>
      </c>
      <c r="M54" s="4" t="s">
        <v>758</v>
      </c>
      <c r="N54" s="6" t="s">
        <v>1271</v>
      </c>
      <c r="O54" s="6"/>
      <c r="P54" s="1">
        <v>0</v>
      </c>
    </row>
    <row r="55" spans="1:16" ht="28.9">
      <c r="A55" s="1" t="s">
        <v>1966</v>
      </c>
      <c r="B55" s="1" t="s">
        <v>1264</v>
      </c>
      <c r="C55" s="3" t="s">
        <v>486</v>
      </c>
      <c r="D55" s="4" t="s">
        <v>487</v>
      </c>
      <c r="E55" s="9">
        <v>45846</v>
      </c>
      <c r="F55" s="6" t="s">
        <v>87</v>
      </c>
      <c r="G55" s="6" t="s">
        <v>83</v>
      </c>
      <c r="H55" s="9">
        <v>45846</v>
      </c>
      <c r="I55" s="7" t="s">
        <v>1967</v>
      </c>
      <c r="J55" s="4"/>
      <c r="K55" s="4" t="s">
        <v>764</v>
      </c>
      <c r="L55" s="4" t="s">
        <v>1362</v>
      </c>
      <c r="M55" s="4" t="s">
        <v>763</v>
      </c>
      <c r="N55" s="6" t="s">
        <v>1271</v>
      </c>
      <c r="O55" s="6"/>
      <c r="P55" s="1">
        <v>0</v>
      </c>
    </row>
    <row r="56" spans="1:16" ht="28.9">
      <c r="A56" s="1" t="s">
        <v>1968</v>
      </c>
      <c r="B56" s="1" t="s">
        <v>1264</v>
      </c>
      <c r="C56" s="3" t="s">
        <v>486</v>
      </c>
      <c r="D56" s="4" t="s">
        <v>487</v>
      </c>
      <c r="E56" s="9">
        <v>45846</v>
      </c>
      <c r="F56" s="6" t="s">
        <v>88</v>
      </c>
      <c r="G56" s="6" t="s">
        <v>7</v>
      </c>
      <c r="H56" s="9"/>
      <c r="I56" s="7" t="s">
        <v>1967</v>
      </c>
      <c r="J56" s="4"/>
      <c r="K56" s="4" t="s">
        <v>764</v>
      </c>
      <c r="L56" s="4" t="s">
        <v>1362</v>
      </c>
      <c r="M56" s="4" t="s">
        <v>763</v>
      </c>
      <c r="N56" s="6" t="s">
        <v>1271</v>
      </c>
      <c r="O56" s="6"/>
      <c r="P56" s="1"/>
    </row>
    <row r="57" spans="1:16" ht="129.6">
      <c r="A57" s="1" t="s">
        <v>1969</v>
      </c>
      <c r="B57" s="1" t="s">
        <v>1264</v>
      </c>
      <c r="C57" s="3" t="s">
        <v>486</v>
      </c>
      <c r="D57" s="4" t="s">
        <v>488</v>
      </c>
      <c r="E57" s="9">
        <v>45846</v>
      </c>
      <c r="F57" s="6" t="s">
        <v>89</v>
      </c>
      <c r="G57" s="6" t="s">
        <v>7</v>
      </c>
      <c r="H57" s="9"/>
      <c r="I57" s="7" t="s">
        <v>1970</v>
      </c>
      <c r="J57" s="4"/>
      <c r="K57" s="4" t="s">
        <v>769</v>
      </c>
      <c r="L57" s="4" t="s">
        <v>1364</v>
      </c>
      <c r="M57" s="4" t="s">
        <v>768</v>
      </c>
      <c r="N57" s="6" t="s">
        <v>1271</v>
      </c>
      <c r="O57" s="6"/>
      <c r="P57" s="1"/>
    </row>
    <row r="58" spans="1:16" ht="86.45">
      <c r="A58" s="1" t="s">
        <v>1971</v>
      </c>
      <c r="B58" s="1" t="s">
        <v>1264</v>
      </c>
      <c r="C58" s="3" t="s">
        <v>486</v>
      </c>
      <c r="D58" s="4" t="s">
        <v>489</v>
      </c>
      <c r="E58" s="9">
        <v>45846</v>
      </c>
      <c r="F58" s="6" t="s">
        <v>88</v>
      </c>
      <c r="G58" s="6" t="s">
        <v>85</v>
      </c>
      <c r="H58" s="9"/>
      <c r="I58" s="7" t="s">
        <v>1972</v>
      </c>
      <c r="J58" s="4"/>
      <c r="K58" s="4"/>
      <c r="L58" s="4"/>
      <c r="M58" s="4" t="s">
        <v>1366</v>
      </c>
      <c r="N58" s="6" t="s">
        <v>1271</v>
      </c>
      <c r="O58" s="6"/>
      <c r="P58" s="1"/>
    </row>
    <row r="59" spans="1:16" ht="86.45">
      <c r="A59" s="1" t="s">
        <v>1973</v>
      </c>
      <c r="B59" s="1" t="s">
        <v>1264</v>
      </c>
      <c r="C59" s="3" t="s">
        <v>486</v>
      </c>
      <c r="D59" s="4" t="s">
        <v>489</v>
      </c>
      <c r="E59" s="9">
        <v>45846</v>
      </c>
      <c r="F59" s="6" t="s">
        <v>88</v>
      </c>
      <c r="G59" s="6" t="s">
        <v>84</v>
      </c>
      <c r="H59" s="9"/>
      <c r="I59" s="7" t="s">
        <v>1972</v>
      </c>
      <c r="J59" s="4"/>
      <c r="K59" s="4"/>
      <c r="L59" s="4"/>
      <c r="M59" s="4" t="s">
        <v>1366</v>
      </c>
      <c r="N59" s="6" t="s">
        <v>1271</v>
      </c>
      <c r="O59" s="6"/>
      <c r="P59" s="1"/>
    </row>
    <row r="60" spans="1:16" ht="86.45">
      <c r="A60" s="1" t="s">
        <v>1974</v>
      </c>
      <c r="B60" s="1" t="s">
        <v>1264</v>
      </c>
      <c r="C60" s="3" t="s">
        <v>486</v>
      </c>
      <c r="D60" s="4" t="s">
        <v>489</v>
      </c>
      <c r="E60" s="9">
        <v>45846</v>
      </c>
      <c r="F60" s="6" t="s">
        <v>88</v>
      </c>
      <c r="G60" s="6" t="s">
        <v>7</v>
      </c>
      <c r="H60" s="9"/>
      <c r="I60" s="7" t="s">
        <v>1972</v>
      </c>
      <c r="J60" s="4"/>
      <c r="K60" s="4"/>
      <c r="L60" s="4"/>
      <c r="M60" s="4" t="s">
        <v>1366</v>
      </c>
      <c r="N60" s="6" t="s">
        <v>1271</v>
      </c>
      <c r="O60" s="6"/>
      <c r="P60" s="1"/>
    </row>
    <row r="61" spans="1:16" ht="28.9">
      <c r="A61" s="1" t="s">
        <v>1975</v>
      </c>
      <c r="B61" s="1" t="s">
        <v>1264</v>
      </c>
      <c r="C61" s="3" t="s">
        <v>490</v>
      </c>
      <c r="D61" s="4" t="s">
        <v>491</v>
      </c>
      <c r="E61" s="9">
        <v>45846</v>
      </c>
      <c r="F61" s="6" t="s">
        <v>87</v>
      </c>
      <c r="G61" s="6" t="s">
        <v>83</v>
      </c>
      <c r="H61" s="9">
        <v>45846</v>
      </c>
      <c r="I61" s="7" t="s">
        <v>1976</v>
      </c>
      <c r="J61" s="4"/>
      <c r="K61" s="4" t="s">
        <v>773</v>
      </c>
      <c r="L61" s="4" t="s">
        <v>1369</v>
      </c>
      <c r="M61" s="4" t="s">
        <v>772</v>
      </c>
      <c r="N61" s="6" t="s">
        <v>1271</v>
      </c>
      <c r="O61" s="6"/>
      <c r="P61" s="1">
        <v>0</v>
      </c>
    </row>
    <row r="62" spans="1:16" ht="28.9">
      <c r="A62" s="1" t="s">
        <v>1977</v>
      </c>
      <c r="B62" s="1" t="s">
        <v>1264</v>
      </c>
      <c r="C62" s="3" t="s">
        <v>490</v>
      </c>
      <c r="D62" s="4" t="s">
        <v>491</v>
      </c>
      <c r="E62" s="9">
        <v>45846</v>
      </c>
      <c r="F62" s="6" t="s">
        <v>88</v>
      </c>
      <c r="G62" s="6" t="s">
        <v>84</v>
      </c>
      <c r="H62" s="9"/>
      <c r="I62" s="7" t="s">
        <v>1976</v>
      </c>
      <c r="J62" s="4"/>
      <c r="K62" s="4" t="s">
        <v>773</v>
      </c>
      <c r="L62" s="4" t="s">
        <v>1369</v>
      </c>
      <c r="M62" s="4" t="s">
        <v>772</v>
      </c>
      <c r="N62" s="6" t="s">
        <v>1271</v>
      </c>
      <c r="O62" s="6"/>
      <c r="P62" s="1"/>
    </row>
    <row r="63" spans="1:16" ht="72">
      <c r="A63" s="1" t="s">
        <v>1978</v>
      </c>
      <c r="B63" s="1" t="s">
        <v>1264</v>
      </c>
      <c r="C63" s="3" t="s">
        <v>490</v>
      </c>
      <c r="D63" s="4" t="s">
        <v>492</v>
      </c>
      <c r="E63" s="9">
        <v>45846</v>
      </c>
      <c r="F63" s="6" t="s">
        <v>89</v>
      </c>
      <c r="G63" s="6" t="s">
        <v>85</v>
      </c>
      <c r="H63" s="9"/>
      <c r="I63" s="7" t="s">
        <v>1979</v>
      </c>
      <c r="J63" s="4"/>
      <c r="K63" s="4" t="s">
        <v>777</v>
      </c>
      <c r="L63" s="4" t="s">
        <v>1371</v>
      </c>
      <c r="M63" s="4" t="s">
        <v>776</v>
      </c>
      <c r="N63" s="6" t="s">
        <v>1271</v>
      </c>
      <c r="O63" s="6"/>
      <c r="P63" s="1"/>
    </row>
    <row r="64" spans="1:16" ht="72">
      <c r="A64" s="1" t="s">
        <v>1980</v>
      </c>
      <c r="B64" s="1" t="s">
        <v>1264</v>
      </c>
      <c r="C64" s="3" t="s">
        <v>490</v>
      </c>
      <c r="D64" s="4" t="s">
        <v>492</v>
      </c>
      <c r="E64" s="9">
        <v>45846</v>
      </c>
      <c r="F64" s="6" t="s">
        <v>89</v>
      </c>
      <c r="G64" s="6" t="s">
        <v>84</v>
      </c>
      <c r="H64" s="9"/>
      <c r="I64" s="7" t="s">
        <v>1979</v>
      </c>
      <c r="J64" s="4"/>
      <c r="K64" s="4" t="s">
        <v>777</v>
      </c>
      <c r="L64" s="4" t="s">
        <v>1371</v>
      </c>
      <c r="M64" s="4" t="s">
        <v>776</v>
      </c>
      <c r="N64" s="6" t="s">
        <v>1271</v>
      </c>
      <c r="O64" s="6"/>
      <c r="P64" s="1"/>
    </row>
    <row r="65" spans="1:16" ht="72">
      <c r="A65" s="1" t="s">
        <v>1981</v>
      </c>
      <c r="B65" s="1" t="s">
        <v>1264</v>
      </c>
      <c r="C65" s="3" t="s">
        <v>490</v>
      </c>
      <c r="D65" s="4" t="s">
        <v>492</v>
      </c>
      <c r="E65" s="9">
        <v>45846</v>
      </c>
      <c r="F65" s="6" t="s">
        <v>89</v>
      </c>
      <c r="G65" s="6" t="s">
        <v>7</v>
      </c>
      <c r="H65" s="9"/>
      <c r="I65" s="7" t="s">
        <v>1979</v>
      </c>
      <c r="J65" s="4"/>
      <c r="K65" s="4" t="s">
        <v>777</v>
      </c>
      <c r="L65" s="4" t="s">
        <v>1371</v>
      </c>
      <c r="M65" s="4" t="s">
        <v>776</v>
      </c>
      <c r="N65" s="6" t="s">
        <v>1271</v>
      </c>
      <c r="O65" s="6"/>
      <c r="P65" s="1"/>
    </row>
    <row r="66" spans="1:16" ht="28.9">
      <c r="A66" s="1" t="s">
        <v>1982</v>
      </c>
      <c r="B66" s="1" t="s">
        <v>1264</v>
      </c>
      <c r="C66" s="3" t="s">
        <v>490</v>
      </c>
      <c r="D66" s="4" t="s">
        <v>493</v>
      </c>
      <c r="E66" s="9">
        <v>45846</v>
      </c>
      <c r="F66" s="6" t="s">
        <v>88</v>
      </c>
      <c r="G66" s="6" t="s">
        <v>84</v>
      </c>
      <c r="H66" s="9"/>
      <c r="I66" s="7" t="s">
        <v>1983</v>
      </c>
      <c r="J66" s="4"/>
      <c r="K66" s="4"/>
      <c r="L66" s="4"/>
      <c r="M66" s="4" t="s">
        <v>1373</v>
      </c>
      <c r="N66" s="6" t="s">
        <v>1271</v>
      </c>
      <c r="O66" s="6"/>
      <c r="P66" s="1"/>
    </row>
    <row r="67" spans="1:16" ht="72">
      <c r="A67" s="1" t="s">
        <v>1984</v>
      </c>
      <c r="B67" s="1" t="s">
        <v>1264</v>
      </c>
      <c r="C67" s="3" t="s">
        <v>494</v>
      </c>
      <c r="D67" s="4" t="s">
        <v>495</v>
      </c>
      <c r="E67" s="9">
        <v>45846</v>
      </c>
      <c r="F67" s="6" t="s">
        <v>87</v>
      </c>
      <c r="G67" s="6" t="s">
        <v>83</v>
      </c>
      <c r="H67" s="9">
        <v>45846</v>
      </c>
      <c r="I67" s="7" t="s">
        <v>1985</v>
      </c>
      <c r="J67" s="4"/>
      <c r="K67" s="4" t="s">
        <v>1378</v>
      </c>
      <c r="L67" s="4" t="s">
        <v>1379</v>
      </c>
      <c r="M67" s="4" t="s">
        <v>780</v>
      </c>
      <c r="N67" s="6" t="s">
        <v>1271</v>
      </c>
      <c r="O67" s="6"/>
      <c r="P67" s="1">
        <v>0</v>
      </c>
    </row>
    <row r="68" spans="1:16" ht="72">
      <c r="A68" s="1" t="s">
        <v>1986</v>
      </c>
      <c r="B68" s="1" t="s">
        <v>1264</v>
      </c>
      <c r="C68" s="3" t="s">
        <v>494</v>
      </c>
      <c r="D68" s="4" t="s">
        <v>495</v>
      </c>
      <c r="E68" s="9">
        <v>45846</v>
      </c>
      <c r="F68" s="6" t="s">
        <v>88</v>
      </c>
      <c r="G68" s="6" t="s">
        <v>85</v>
      </c>
      <c r="H68" s="9"/>
      <c r="I68" s="7" t="s">
        <v>1985</v>
      </c>
      <c r="J68" s="4"/>
      <c r="K68" s="4" t="s">
        <v>1378</v>
      </c>
      <c r="L68" s="4" t="s">
        <v>1379</v>
      </c>
      <c r="M68" s="4" t="s">
        <v>780</v>
      </c>
      <c r="N68" s="6" t="s">
        <v>1271</v>
      </c>
      <c r="O68" s="6"/>
      <c r="P68" s="1"/>
    </row>
    <row r="69" spans="1:16" ht="72">
      <c r="A69" s="1" t="s">
        <v>1987</v>
      </c>
      <c r="B69" s="1" t="s">
        <v>1264</v>
      </c>
      <c r="C69" s="3" t="s">
        <v>494</v>
      </c>
      <c r="D69" s="4" t="s">
        <v>495</v>
      </c>
      <c r="E69" s="9">
        <v>45846</v>
      </c>
      <c r="F69" s="6" t="s">
        <v>88</v>
      </c>
      <c r="G69" s="6" t="s">
        <v>84</v>
      </c>
      <c r="H69" s="9"/>
      <c r="I69" s="7" t="s">
        <v>1985</v>
      </c>
      <c r="J69" s="4"/>
      <c r="K69" s="4" t="s">
        <v>1378</v>
      </c>
      <c r="L69" s="4" t="s">
        <v>1379</v>
      </c>
      <c r="M69" s="4" t="s">
        <v>780</v>
      </c>
      <c r="N69" s="6" t="s">
        <v>1271</v>
      </c>
      <c r="O69" s="6"/>
      <c r="P69" s="1"/>
    </row>
    <row r="70" spans="1:16" ht="72">
      <c r="A70" s="1" t="s">
        <v>1988</v>
      </c>
      <c r="B70" s="1" t="s">
        <v>1264</v>
      </c>
      <c r="C70" s="3" t="s">
        <v>494</v>
      </c>
      <c r="D70" s="4" t="s">
        <v>495</v>
      </c>
      <c r="E70" s="9">
        <v>45846</v>
      </c>
      <c r="F70" s="6" t="s">
        <v>88</v>
      </c>
      <c r="G70" s="6" t="s">
        <v>7</v>
      </c>
      <c r="H70" s="9"/>
      <c r="I70" s="7" t="s">
        <v>1985</v>
      </c>
      <c r="J70" s="4"/>
      <c r="K70" s="4" t="s">
        <v>1378</v>
      </c>
      <c r="L70" s="4" t="s">
        <v>1379</v>
      </c>
      <c r="M70" s="4" t="s">
        <v>780</v>
      </c>
      <c r="N70" s="6" t="s">
        <v>1271</v>
      </c>
      <c r="O70" s="6"/>
      <c r="P70" s="1"/>
    </row>
    <row r="71" spans="1:16" ht="28.9">
      <c r="A71" s="1" t="s">
        <v>1989</v>
      </c>
      <c r="B71" s="1" t="s">
        <v>1264</v>
      </c>
      <c r="C71" s="3" t="s">
        <v>494</v>
      </c>
      <c r="D71" s="4" t="s">
        <v>1381</v>
      </c>
      <c r="E71" s="9">
        <v>45846</v>
      </c>
      <c r="F71" s="6" t="s">
        <v>87</v>
      </c>
      <c r="G71" s="6" t="s">
        <v>83</v>
      </c>
      <c r="H71" s="9">
        <v>45846</v>
      </c>
      <c r="I71" s="7"/>
      <c r="J71" s="4"/>
      <c r="K71" s="4" t="s">
        <v>786</v>
      </c>
      <c r="L71" s="4" t="s">
        <v>1382</v>
      </c>
      <c r="M71" s="4" t="s">
        <v>784</v>
      </c>
      <c r="N71" s="6" t="s">
        <v>1271</v>
      </c>
      <c r="O71" s="6"/>
      <c r="P71" s="1">
        <v>0</v>
      </c>
    </row>
    <row r="72" spans="1:16" ht="28.9">
      <c r="A72" s="1" t="s">
        <v>1990</v>
      </c>
      <c r="B72" s="1" t="s">
        <v>1264</v>
      </c>
      <c r="C72" s="3" t="s">
        <v>494</v>
      </c>
      <c r="D72" s="4" t="s">
        <v>789</v>
      </c>
      <c r="E72" s="9">
        <v>45846</v>
      </c>
      <c r="F72" s="6" t="s">
        <v>87</v>
      </c>
      <c r="G72" s="6" t="s">
        <v>83</v>
      </c>
      <c r="H72" s="9">
        <v>45846</v>
      </c>
      <c r="I72" s="7" t="s">
        <v>1991</v>
      </c>
      <c r="J72" s="4"/>
      <c r="K72" s="4" t="s">
        <v>1384</v>
      </c>
      <c r="L72" s="4" t="s">
        <v>1385</v>
      </c>
      <c r="M72" s="4" t="s">
        <v>788</v>
      </c>
      <c r="N72" s="6" t="s">
        <v>1271</v>
      </c>
      <c r="O72" s="6"/>
      <c r="P72" s="1">
        <v>0</v>
      </c>
    </row>
    <row r="73" spans="1:16" ht="28.9">
      <c r="A73" s="1" t="s">
        <v>1992</v>
      </c>
      <c r="B73" s="1" t="s">
        <v>1264</v>
      </c>
      <c r="C73" s="3" t="s">
        <v>496</v>
      </c>
      <c r="D73" s="4" t="s">
        <v>497</v>
      </c>
      <c r="E73" s="9">
        <v>45846</v>
      </c>
      <c r="F73" s="6" t="s">
        <v>88</v>
      </c>
      <c r="G73" s="6" t="s">
        <v>84</v>
      </c>
      <c r="H73" s="9"/>
      <c r="I73" s="7" t="s">
        <v>1993</v>
      </c>
      <c r="J73" s="4"/>
      <c r="K73" s="4" t="s">
        <v>795</v>
      </c>
      <c r="L73" s="4" t="s">
        <v>1387</v>
      </c>
      <c r="M73" s="4" t="s">
        <v>793</v>
      </c>
      <c r="N73" s="6" t="s">
        <v>1271</v>
      </c>
      <c r="O73" s="6"/>
      <c r="P73" s="1"/>
    </row>
    <row r="74" spans="1:16" ht="43.15">
      <c r="A74" s="1" t="s">
        <v>1994</v>
      </c>
      <c r="B74" s="1" t="s">
        <v>1264</v>
      </c>
      <c r="C74" s="3" t="s">
        <v>498</v>
      </c>
      <c r="D74" s="4" t="s">
        <v>499</v>
      </c>
      <c r="E74" s="9">
        <v>45846</v>
      </c>
      <c r="F74" s="6" t="s">
        <v>88</v>
      </c>
      <c r="G74" s="6" t="s">
        <v>84</v>
      </c>
      <c r="H74" s="9"/>
      <c r="I74" s="7" t="s">
        <v>1995</v>
      </c>
      <c r="J74" s="4"/>
      <c r="K74" s="4" t="s">
        <v>801</v>
      </c>
      <c r="L74" s="4" t="s">
        <v>1390</v>
      </c>
      <c r="M74" s="4" t="s">
        <v>799</v>
      </c>
      <c r="N74" s="6" t="s">
        <v>1271</v>
      </c>
      <c r="O74" s="6"/>
      <c r="P74" s="1"/>
    </row>
    <row r="75" spans="1:16" ht="86.45">
      <c r="A75" s="1" t="s">
        <v>1996</v>
      </c>
      <c r="B75" s="1" t="s">
        <v>1264</v>
      </c>
      <c r="C75" s="3" t="s">
        <v>615</v>
      </c>
      <c r="D75" s="4" t="s">
        <v>1397</v>
      </c>
      <c r="E75" s="9">
        <v>45846</v>
      </c>
      <c r="F75" s="6" t="s">
        <v>87</v>
      </c>
      <c r="G75" s="6" t="s">
        <v>83</v>
      </c>
      <c r="H75" s="9">
        <v>45846</v>
      </c>
      <c r="I75" s="7" t="s">
        <v>1997</v>
      </c>
      <c r="J75" s="4"/>
      <c r="K75" s="4"/>
      <c r="L75" s="4"/>
      <c r="M75" s="4" t="s">
        <v>1396</v>
      </c>
      <c r="N75" s="6" t="s">
        <v>1271</v>
      </c>
      <c r="O75" s="6"/>
      <c r="P75" s="1">
        <v>0</v>
      </c>
    </row>
    <row r="76" spans="1:16" ht="86.45">
      <c r="A76" s="1" t="s">
        <v>1998</v>
      </c>
      <c r="B76" s="1" t="s">
        <v>1264</v>
      </c>
      <c r="C76" s="3" t="s">
        <v>616</v>
      </c>
      <c r="D76" s="4" t="s">
        <v>810</v>
      </c>
      <c r="E76" s="9">
        <v>45846</v>
      </c>
      <c r="F76" s="6" t="s">
        <v>87</v>
      </c>
      <c r="G76" s="6" t="s">
        <v>83</v>
      </c>
      <c r="H76" s="9">
        <v>45846</v>
      </c>
      <c r="I76" s="7" t="s">
        <v>1999</v>
      </c>
      <c r="J76" s="4"/>
      <c r="K76" s="4" t="s">
        <v>811</v>
      </c>
      <c r="L76" s="4" t="s">
        <v>1399</v>
      </c>
      <c r="M76" s="4" t="s">
        <v>809</v>
      </c>
      <c r="N76" s="6" t="s">
        <v>1271</v>
      </c>
      <c r="O76" s="6"/>
      <c r="P76" s="1">
        <v>0</v>
      </c>
    </row>
    <row r="77" spans="1:16" ht="43.15">
      <c r="A77" s="1" t="s">
        <v>2000</v>
      </c>
      <c r="B77" s="1" t="s">
        <v>1264</v>
      </c>
      <c r="C77" s="3" t="s">
        <v>500</v>
      </c>
      <c r="D77" s="4" t="s">
        <v>815</v>
      </c>
      <c r="E77" s="9">
        <v>45846</v>
      </c>
      <c r="F77" s="6" t="s">
        <v>87</v>
      </c>
      <c r="G77" s="6" t="s">
        <v>83</v>
      </c>
      <c r="H77" s="9">
        <v>45846</v>
      </c>
      <c r="I77" s="7" t="s">
        <v>2001</v>
      </c>
      <c r="J77" s="4"/>
      <c r="K77" s="4" t="s">
        <v>816</v>
      </c>
      <c r="L77" s="4" t="s">
        <v>1402</v>
      </c>
      <c r="M77" s="4" t="s">
        <v>814</v>
      </c>
      <c r="N77" s="6" t="s">
        <v>1271</v>
      </c>
      <c r="O77" s="6"/>
      <c r="P77" s="1">
        <v>0</v>
      </c>
    </row>
    <row r="78" spans="1:16" ht="43.15">
      <c r="A78" s="1" t="s">
        <v>2002</v>
      </c>
      <c r="B78" s="1" t="s">
        <v>1264</v>
      </c>
      <c r="C78" s="3" t="s">
        <v>500</v>
      </c>
      <c r="D78" s="4" t="s">
        <v>501</v>
      </c>
      <c r="E78" s="9">
        <v>45846</v>
      </c>
      <c r="F78" s="6" t="s">
        <v>88</v>
      </c>
      <c r="G78" s="6" t="s">
        <v>85</v>
      </c>
      <c r="H78" s="9"/>
      <c r="I78" s="7" t="s">
        <v>2001</v>
      </c>
      <c r="J78" s="4"/>
      <c r="K78" s="4"/>
      <c r="L78" s="4"/>
      <c r="M78" s="4" t="s">
        <v>819</v>
      </c>
      <c r="N78" s="6" t="s">
        <v>1271</v>
      </c>
      <c r="O78" s="6"/>
      <c r="P78" s="1"/>
    </row>
    <row r="79" spans="1:16" ht="28.9">
      <c r="A79" s="1" t="s">
        <v>2003</v>
      </c>
      <c r="B79" s="1" t="s">
        <v>1264</v>
      </c>
      <c r="C79" s="3" t="s">
        <v>502</v>
      </c>
      <c r="D79" s="4" t="s">
        <v>503</v>
      </c>
      <c r="E79" s="9">
        <v>45846</v>
      </c>
      <c r="F79" s="6" t="s">
        <v>88</v>
      </c>
      <c r="G79" s="6" t="s">
        <v>7</v>
      </c>
      <c r="H79" s="9"/>
      <c r="I79" s="7" t="s">
        <v>2004</v>
      </c>
      <c r="J79" s="4"/>
      <c r="K79" s="4" t="s">
        <v>1405</v>
      </c>
      <c r="L79" s="4" t="s">
        <v>1406</v>
      </c>
      <c r="M79" s="4" t="s">
        <v>824</v>
      </c>
      <c r="N79" s="6" t="s">
        <v>1271</v>
      </c>
      <c r="O79" s="6"/>
      <c r="P79" s="1"/>
    </row>
    <row r="80" spans="1:16" ht="28.9">
      <c r="A80" s="1" t="s">
        <v>2005</v>
      </c>
      <c r="B80" s="1" t="s">
        <v>1264</v>
      </c>
      <c r="C80" s="3" t="s">
        <v>504</v>
      </c>
      <c r="D80" s="4" t="s">
        <v>505</v>
      </c>
      <c r="E80" s="9">
        <v>45846</v>
      </c>
      <c r="F80" s="6" t="s">
        <v>87</v>
      </c>
      <c r="G80" s="6" t="s">
        <v>83</v>
      </c>
      <c r="H80" s="9">
        <v>45846</v>
      </c>
      <c r="I80" s="7" t="s">
        <v>2006</v>
      </c>
      <c r="J80" s="4"/>
      <c r="K80" s="4" t="s">
        <v>831</v>
      </c>
      <c r="L80" s="4" t="s">
        <v>1410</v>
      </c>
      <c r="M80" s="4" t="s">
        <v>829</v>
      </c>
      <c r="N80" s="6" t="s">
        <v>1271</v>
      </c>
      <c r="O80" s="6"/>
      <c r="P80" s="1">
        <v>0</v>
      </c>
    </row>
    <row r="81" spans="1:16" ht="28.9">
      <c r="A81" s="1" t="s">
        <v>2007</v>
      </c>
      <c r="B81" s="1" t="s">
        <v>1264</v>
      </c>
      <c r="C81" s="3" t="s">
        <v>504</v>
      </c>
      <c r="D81" s="4" t="s">
        <v>505</v>
      </c>
      <c r="E81" s="9">
        <v>45846</v>
      </c>
      <c r="F81" s="6" t="s">
        <v>88</v>
      </c>
      <c r="G81" s="6" t="s">
        <v>85</v>
      </c>
      <c r="H81" s="9"/>
      <c r="I81" s="7" t="s">
        <v>2006</v>
      </c>
      <c r="J81" s="4"/>
      <c r="K81" s="4" t="s">
        <v>831</v>
      </c>
      <c r="L81" s="4" t="s">
        <v>1410</v>
      </c>
      <c r="M81" s="4" t="s">
        <v>829</v>
      </c>
      <c r="N81" s="6" t="s">
        <v>1271</v>
      </c>
      <c r="O81" s="6"/>
      <c r="P81" s="1"/>
    </row>
    <row r="82" spans="1:16" ht="28.9">
      <c r="A82" s="1" t="s">
        <v>2008</v>
      </c>
      <c r="B82" s="1" t="s">
        <v>1264</v>
      </c>
      <c r="C82" s="3" t="s">
        <v>504</v>
      </c>
      <c r="D82" s="4" t="s">
        <v>505</v>
      </c>
      <c r="E82" s="9">
        <v>45846</v>
      </c>
      <c r="F82" s="6" t="s">
        <v>88</v>
      </c>
      <c r="G82" s="6" t="s">
        <v>7</v>
      </c>
      <c r="H82" s="9"/>
      <c r="I82" s="7" t="s">
        <v>2006</v>
      </c>
      <c r="J82" s="4"/>
      <c r="K82" s="4" t="s">
        <v>831</v>
      </c>
      <c r="L82" s="4" t="s">
        <v>1410</v>
      </c>
      <c r="M82" s="4" t="s">
        <v>829</v>
      </c>
      <c r="N82" s="6" t="s">
        <v>1271</v>
      </c>
      <c r="O82" s="6"/>
      <c r="P82" s="1"/>
    </row>
    <row r="83" spans="1:16" ht="43.15">
      <c r="A83" s="1" t="s">
        <v>2009</v>
      </c>
      <c r="B83" s="1" t="s">
        <v>1264</v>
      </c>
      <c r="C83" s="3" t="s">
        <v>506</v>
      </c>
      <c r="D83" s="4" t="s">
        <v>507</v>
      </c>
      <c r="E83" s="9">
        <v>45846</v>
      </c>
      <c r="F83" s="6" t="s">
        <v>88</v>
      </c>
      <c r="G83" s="6" t="s">
        <v>85</v>
      </c>
      <c r="H83" s="9"/>
      <c r="I83" s="7" t="s">
        <v>2010</v>
      </c>
      <c r="J83" s="4"/>
      <c r="K83" s="4" t="s">
        <v>835</v>
      </c>
      <c r="L83" s="4" t="s">
        <v>1413</v>
      </c>
      <c r="M83" s="4" t="s">
        <v>834</v>
      </c>
      <c r="N83" s="6" t="s">
        <v>1271</v>
      </c>
      <c r="O83" s="6"/>
      <c r="P83" s="1"/>
    </row>
    <row r="84" spans="1:16" ht="43.15">
      <c r="A84" s="1" t="s">
        <v>2011</v>
      </c>
      <c r="B84" s="1" t="s">
        <v>1264</v>
      </c>
      <c r="C84" s="3" t="s">
        <v>617</v>
      </c>
      <c r="D84" s="4" t="s">
        <v>1416</v>
      </c>
      <c r="E84" s="9">
        <v>45846</v>
      </c>
      <c r="F84" s="6" t="s">
        <v>87</v>
      </c>
      <c r="G84" s="6" t="s">
        <v>83</v>
      </c>
      <c r="H84" s="9">
        <v>45846</v>
      </c>
      <c r="I84" s="7" t="s">
        <v>2012</v>
      </c>
      <c r="J84" s="4"/>
      <c r="K84" s="4" t="s">
        <v>1417</v>
      </c>
      <c r="L84" s="4" t="s">
        <v>1418</v>
      </c>
      <c r="M84" s="4" t="s">
        <v>838</v>
      </c>
      <c r="N84" s="6" t="s">
        <v>1271</v>
      </c>
      <c r="O84" s="6"/>
      <c r="P84" s="1">
        <v>0</v>
      </c>
    </row>
    <row r="85" spans="1:16" ht="86.45">
      <c r="A85" s="1" t="s">
        <v>2013</v>
      </c>
      <c r="B85" s="1" t="s">
        <v>1264</v>
      </c>
      <c r="C85" s="3" t="s">
        <v>617</v>
      </c>
      <c r="D85" s="4" t="s">
        <v>1420</v>
      </c>
      <c r="E85" s="9">
        <v>45846</v>
      </c>
      <c r="F85" s="6" t="s">
        <v>87</v>
      </c>
      <c r="G85" s="6" t="s">
        <v>83</v>
      </c>
      <c r="H85" s="9">
        <v>45846</v>
      </c>
      <c r="I85" s="7" t="s">
        <v>2014</v>
      </c>
      <c r="J85" s="4"/>
      <c r="K85" s="4"/>
      <c r="L85" s="4"/>
      <c r="M85" s="4" t="s">
        <v>1419</v>
      </c>
      <c r="N85" s="6" t="s">
        <v>1271</v>
      </c>
      <c r="O85" s="6"/>
      <c r="P85" s="1">
        <v>0</v>
      </c>
    </row>
    <row r="86" spans="1:16" ht="115.15">
      <c r="A86" s="1" t="s">
        <v>2015</v>
      </c>
      <c r="B86" s="1" t="s">
        <v>1421</v>
      </c>
      <c r="C86" s="3" t="s">
        <v>508</v>
      </c>
      <c r="D86" s="4" t="s">
        <v>509</v>
      </c>
      <c r="E86" s="9">
        <v>45846</v>
      </c>
      <c r="F86" s="6" t="s">
        <v>87</v>
      </c>
      <c r="G86" s="6" t="s">
        <v>83</v>
      </c>
      <c r="H86" s="9">
        <v>45846</v>
      </c>
      <c r="I86" s="7" t="s">
        <v>2016</v>
      </c>
      <c r="J86" s="4"/>
      <c r="K86" s="4" t="s">
        <v>1423</v>
      </c>
      <c r="L86" s="4" t="s">
        <v>1425</v>
      </c>
      <c r="M86" s="4" t="s">
        <v>843</v>
      </c>
      <c r="N86" s="6" t="s">
        <v>1271</v>
      </c>
      <c r="O86" s="6"/>
      <c r="P86" s="1">
        <v>0</v>
      </c>
    </row>
    <row r="87" spans="1:16" ht="115.15">
      <c r="A87" s="1" t="s">
        <v>2017</v>
      </c>
      <c r="B87" s="1" t="s">
        <v>1421</v>
      </c>
      <c r="C87" s="3" t="s">
        <v>508</v>
      </c>
      <c r="D87" s="4" t="s">
        <v>509</v>
      </c>
      <c r="E87" s="9">
        <v>45846</v>
      </c>
      <c r="F87" s="6" t="s">
        <v>88</v>
      </c>
      <c r="G87" s="6" t="s">
        <v>84</v>
      </c>
      <c r="H87" s="9"/>
      <c r="I87" s="7" t="s">
        <v>2016</v>
      </c>
      <c r="J87" s="4"/>
      <c r="K87" s="4" t="s">
        <v>1423</v>
      </c>
      <c r="L87" s="4" t="s">
        <v>1425</v>
      </c>
      <c r="M87" s="4" t="s">
        <v>843</v>
      </c>
      <c r="N87" s="6" t="s">
        <v>1271</v>
      </c>
      <c r="O87" s="6"/>
      <c r="P87" s="1"/>
    </row>
    <row r="88" spans="1:16" ht="115.15">
      <c r="A88" s="1" t="s">
        <v>2018</v>
      </c>
      <c r="B88" s="1" t="s">
        <v>1421</v>
      </c>
      <c r="C88" s="3" t="s">
        <v>508</v>
      </c>
      <c r="D88" s="4" t="s">
        <v>509</v>
      </c>
      <c r="E88" s="9">
        <v>45846</v>
      </c>
      <c r="F88" s="6" t="s">
        <v>88</v>
      </c>
      <c r="G88" s="6" t="s">
        <v>7</v>
      </c>
      <c r="H88" s="9"/>
      <c r="I88" s="7" t="s">
        <v>2016</v>
      </c>
      <c r="J88" s="4"/>
      <c r="K88" s="4" t="s">
        <v>1423</v>
      </c>
      <c r="L88" s="4" t="s">
        <v>1425</v>
      </c>
      <c r="M88" s="4" t="s">
        <v>843</v>
      </c>
      <c r="N88" s="6" t="s">
        <v>1271</v>
      </c>
      <c r="O88" s="6"/>
      <c r="P88" s="1"/>
    </row>
    <row r="89" spans="1:16" ht="72">
      <c r="A89" s="1" t="s">
        <v>2019</v>
      </c>
      <c r="B89" s="1" t="s">
        <v>1421</v>
      </c>
      <c r="C89" s="3" t="s">
        <v>508</v>
      </c>
      <c r="D89" s="4" t="s">
        <v>1428</v>
      </c>
      <c r="E89" s="9">
        <v>45846</v>
      </c>
      <c r="F89" s="6" t="s">
        <v>87</v>
      </c>
      <c r="G89" s="6" t="s">
        <v>83</v>
      </c>
      <c r="H89" s="9">
        <v>45846</v>
      </c>
      <c r="I89" s="7" t="s">
        <v>2020</v>
      </c>
      <c r="J89" s="4"/>
      <c r="K89" s="4"/>
      <c r="L89" s="4"/>
      <c r="M89" s="4" t="s">
        <v>1427</v>
      </c>
      <c r="N89" s="6" t="s">
        <v>1271</v>
      </c>
      <c r="O89" s="6"/>
      <c r="P89" s="1">
        <v>0</v>
      </c>
    </row>
    <row r="90" spans="1:16" ht="72">
      <c r="A90" s="1" t="s">
        <v>2021</v>
      </c>
      <c r="B90" s="1" t="s">
        <v>1421</v>
      </c>
      <c r="C90" s="3" t="s">
        <v>508</v>
      </c>
      <c r="D90" s="4" t="s">
        <v>510</v>
      </c>
      <c r="E90" s="9">
        <v>45846</v>
      </c>
      <c r="F90" s="6" t="s">
        <v>87</v>
      </c>
      <c r="G90" s="6" t="s">
        <v>83</v>
      </c>
      <c r="H90" s="9">
        <v>45846</v>
      </c>
      <c r="I90" s="7" t="s">
        <v>2022</v>
      </c>
      <c r="J90" s="4"/>
      <c r="K90" s="4"/>
      <c r="L90" s="4"/>
      <c r="M90" s="4" t="s">
        <v>1429</v>
      </c>
      <c r="N90" s="6" t="s">
        <v>1271</v>
      </c>
      <c r="O90" s="6"/>
      <c r="P90" s="1">
        <v>0</v>
      </c>
    </row>
    <row r="91" spans="1:16" ht="72">
      <c r="A91" s="1" t="s">
        <v>2023</v>
      </c>
      <c r="B91" s="1" t="s">
        <v>1421</v>
      </c>
      <c r="C91" s="3" t="s">
        <v>508</v>
      </c>
      <c r="D91" s="4" t="s">
        <v>510</v>
      </c>
      <c r="E91" s="9">
        <v>45846</v>
      </c>
      <c r="F91" s="6" t="s">
        <v>88</v>
      </c>
      <c r="G91" s="6" t="s">
        <v>84</v>
      </c>
      <c r="H91" s="9"/>
      <c r="I91" s="7" t="s">
        <v>2022</v>
      </c>
      <c r="J91" s="4"/>
      <c r="K91" s="4"/>
      <c r="L91" s="4"/>
      <c r="M91" s="4" t="s">
        <v>1429</v>
      </c>
      <c r="N91" s="6" t="s">
        <v>1271</v>
      </c>
      <c r="O91" s="6"/>
      <c r="P91" s="1"/>
    </row>
    <row r="92" spans="1:16" ht="72">
      <c r="A92" s="1" t="s">
        <v>2024</v>
      </c>
      <c r="B92" s="1" t="s">
        <v>1421</v>
      </c>
      <c r="C92" s="3" t="s">
        <v>508</v>
      </c>
      <c r="D92" s="4" t="s">
        <v>511</v>
      </c>
      <c r="E92" s="9">
        <v>45846</v>
      </c>
      <c r="F92" s="6" t="s">
        <v>87</v>
      </c>
      <c r="G92" s="6" t="s">
        <v>83</v>
      </c>
      <c r="H92" s="9">
        <v>45846</v>
      </c>
      <c r="I92" s="7" t="s">
        <v>2025</v>
      </c>
      <c r="J92" s="4"/>
      <c r="K92" s="4"/>
      <c r="L92" s="4"/>
      <c r="M92" s="4" t="s">
        <v>1430</v>
      </c>
      <c r="N92" s="6" t="s">
        <v>1271</v>
      </c>
      <c r="O92" s="6"/>
      <c r="P92" s="1">
        <v>0</v>
      </c>
    </row>
    <row r="93" spans="1:16" ht="72">
      <c r="A93" s="1" t="s">
        <v>2026</v>
      </c>
      <c r="B93" s="1" t="s">
        <v>1421</v>
      </c>
      <c r="C93" s="3" t="s">
        <v>508</v>
      </c>
      <c r="D93" s="4" t="s">
        <v>511</v>
      </c>
      <c r="E93" s="9">
        <v>45846</v>
      </c>
      <c r="F93" s="6" t="s">
        <v>88</v>
      </c>
      <c r="G93" s="6" t="s">
        <v>7</v>
      </c>
      <c r="H93" s="9"/>
      <c r="I93" s="7" t="s">
        <v>2025</v>
      </c>
      <c r="J93" s="4"/>
      <c r="K93" s="4"/>
      <c r="L93" s="4"/>
      <c r="M93" s="4" t="s">
        <v>1430</v>
      </c>
      <c r="N93" s="6" t="s">
        <v>1271</v>
      </c>
      <c r="O93" s="6"/>
      <c r="P93" s="1"/>
    </row>
    <row r="94" spans="1:16" ht="72">
      <c r="A94" s="1" t="s">
        <v>2027</v>
      </c>
      <c r="B94" s="1" t="s">
        <v>1421</v>
      </c>
      <c r="C94" s="3" t="s">
        <v>618</v>
      </c>
      <c r="D94" s="4" t="s">
        <v>1435</v>
      </c>
      <c r="E94" s="9">
        <v>45846</v>
      </c>
      <c r="F94" s="6" t="s">
        <v>87</v>
      </c>
      <c r="G94" s="6" t="s">
        <v>83</v>
      </c>
      <c r="H94" s="9">
        <v>45846</v>
      </c>
      <c r="I94" s="7" t="s">
        <v>2028</v>
      </c>
      <c r="J94" s="4"/>
      <c r="K94" s="4"/>
      <c r="L94" s="4"/>
      <c r="M94" s="4" t="s">
        <v>1434</v>
      </c>
      <c r="N94" s="6" t="s">
        <v>1271</v>
      </c>
      <c r="O94" s="6"/>
      <c r="P94" s="1">
        <v>0</v>
      </c>
    </row>
    <row r="95" spans="1:16" ht="28.9">
      <c r="A95" s="1" t="s">
        <v>2029</v>
      </c>
      <c r="B95" s="1" t="s">
        <v>1421</v>
      </c>
      <c r="C95" s="3" t="s">
        <v>512</v>
      </c>
      <c r="D95" s="4" t="s">
        <v>513</v>
      </c>
      <c r="E95" s="9">
        <v>45846</v>
      </c>
      <c r="F95" s="6" t="s">
        <v>89</v>
      </c>
      <c r="G95" s="6" t="s">
        <v>7</v>
      </c>
      <c r="H95" s="9"/>
      <c r="I95" s="7" t="s">
        <v>1901</v>
      </c>
      <c r="J95" s="4"/>
      <c r="K95" s="4" t="s">
        <v>1437</v>
      </c>
      <c r="L95" s="4" t="s">
        <v>1438</v>
      </c>
      <c r="M95" s="4" t="s">
        <v>852</v>
      </c>
      <c r="N95" s="6" t="s">
        <v>1271</v>
      </c>
      <c r="O95" s="6"/>
      <c r="P95" s="1"/>
    </row>
    <row r="96" spans="1:16" ht="100.9">
      <c r="A96" s="1" t="s">
        <v>2030</v>
      </c>
      <c r="B96" s="1" t="s">
        <v>1421</v>
      </c>
      <c r="C96" s="3" t="s">
        <v>512</v>
      </c>
      <c r="D96" s="4" t="s">
        <v>514</v>
      </c>
      <c r="E96" s="9">
        <v>45846</v>
      </c>
      <c r="F96" s="6" t="s">
        <v>88</v>
      </c>
      <c r="G96" s="6" t="s">
        <v>84</v>
      </c>
      <c r="H96" s="9"/>
      <c r="I96" s="7" t="s">
        <v>2031</v>
      </c>
      <c r="J96" s="4"/>
      <c r="K96" s="4"/>
      <c r="L96" s="4"/>
      <c r="M96" s="4" t="s">
        <v>1440</v>
      </c>
      <c r="N96" s="6" t="s">
        <v>1271</v>
      </c>
      <c r="O96" s="6"/>
      <c r="P96" s="1"/>
    </row>
    <row r="97" spans="1:16" ht="86.45">
      <c r="A97" s="1" t="s">
        <v>2032</v>
      </c>
      <c r="B97" s="1" t="s">
        <v>1421</v>
      </c>
      <c r="C97" s="3" t="s">
        <v>512</v>
      </c>
      <c r="D97" s="4" t="s">
        <v>515</v>
      </c>
      <c r="E97" s="9">
        <v>45846</v>
      </c>
      <c r="F97" s="6" t="s">
        <v>89</v>
      </c>
      <c r="G97" s="6" t="s">
        <v>7</v>
      </c>
      <c r="H97" s="9"/>
      <c r="I97" s="7" t="s">
        <v>2033</v>
      </c>
      <c r="J97" s="4"/>
      <c r="K97" s="4"/>
      <c r="L97" s="4"/>
      <c r="M97" s="4" t="s">
        <v>1443</v>
      </c>
      <c r="N97" s="6" t="s">
        <v>1271</v>
      </c>
      <c r="O97" s="6"/>
      <c r="P97" s="1"/>
    </row>
    <row r="98" spans="1:16" ht="100.9">
      <c r="A98" s="1" t="s">
        <v>2034</v>
      </c>
      <c r="B98" s="1" t="s">
        <v>1421</v>
      </c>
      <c r="C98" s="3" t="s">
        <v>512</v>
      </c>
      <c r="D98" s="4" t="s">
        <v>516</v>
      </c>
      <c r="E98" s="9">
        <v>45846</v>
      </c>
      <c r="F98" s="6" t="s">
        <v>89</v>
      </c>
      <c r="G98" s="6" t="s">
        <v>7</v>
      </c>
      <c r="H98" s="9"/>
      <c r="I98" s="7" t="s">
        <v>2035</v>
      </c>
      <c r="J98" s="4"/>
      <c r="K98" s="4"/>
      <c r="L98" s="4"/>
      <c r="M98" s="4" t="s">
        <v>1444</v>
      </c>
      <c r="N98" s="6" t="s">
        <v>1271</v>
      </c>
      <c r="O98" s="6"/>
      <c r="P98" s="1"/>
    </row>
    <row r="99" spans="1:16" ht="86.45">
      <c r="A99" s="1" t="s">
        <v>2036</v>
      </c>
      <c r="B99" s="1" t="s">
        <v>1421</v>
      </c>
      <c r="C99" s="3" t="s">
        <v>512</v>
      </c>
      <c r="D99" s="4" t="s">
        <v>517</v>
      </c>
      <c r="E99" s="9">
        <v>45846</v>
      </c>
      <c r="F99" s="6" t="s">
        <v>88</v>
      </c>
      <c r="G99" s="6" t="s">
        <v>7</v>
      </c>
      <c r="H99" s="9"/>
      <c r="I99" s="7" t="s">
        <v>2037</v>
      </c>
      <c r="J99" s="4"/>
      <c r="K99" s="4"/>
      <c r="L99" s="4"/>
      <c r="M99" s="4" t="s">
        <v>1445</v>
      </c>
      <c r="N99" s="6" t="s">
        <v>1271</v>
      </c>
      <c r="O99" s="6"/>
      <c r="P99" s="1"/>
    </row>
    <row r="100" spans="1:16" ht="86.45">
      <c r="A100" s="1" t="s">
        <v>2038</v>
      </c>
      <c r="B100" s="1" t="s">
        <v>1421</v>
      </c>
      <c r="C100" s="3" t="s">
        <v>512</v>
      </c>
      <c r="D100" s="4" t="s">
        <v>518</v>
      </c>
      <c r="E100" s="9">
        <v>45846</v>
      </c>
      <c r="F100" s="6" t="s">
        <v>89</v>
      </c>
      <c r="G100" s="6" t="s">
        <v>7</v>
      </c>
      <c r="H100" s="9"/>
      <c r="I100" s="7" t="s">
        <v>2039</v>
      </c>
      <c r="J100" s="4"/>
      <c r="K100" s="4"/>
      <c r="L100" s="4"/>
      <c r="M100" s="4" t="s">
        <v>1448</v>
      </c>
      <c r="N100" s="6" t="s">
        <v>1271</v>
      </c>
      <c r="O100" s="6"/>
      <c r="P100" s="1"/>
    </row>
    <row r="101" spans="1:16" ht="129.6">
      <c r="A101" s="1" t="s">
        <v>2040</v>
      </c>
      <c r="B101" s="1" t="s">
        <v>1421</v>
      </c>
      <c r="C101" s="3" t="s">
        <v>512</v>
      </c>
      <c r="D101" s="4" t="s">
        <v>519</v>
      </c>
      <c r="E101" s="9">
        <v>45846</v>
      </c>
      <c r="F101" s="6" t="s">
        <v>89</v>
      </c>
      <c r="G101" s="6" t="s">
        <v>7</v>
      </c>
      <c r="H101" s="9"/>
      <c r="I101" s="7" t="s">
        <v>2041</v>
      </c>
      <c r="J101" s="4"/>
      <c r="K101" s="4"/>
      <c r="L101" s="4"/>
      <c r="M101" s="4" t="s">
        <v>1449</v>
      </c>
      <c r="N101" s="6" t="s">
        <v>1271</v>
      </c>
      <c r="O101" s="6"/>
      <c r="P101" s="1"/>
    </row>
    <row r="102" spans="1:16" ht="129.6">
      <c r="A102" s="1" t="s">
        <v>2042</v>
      </c>
      <c r="B102" s="1" t="s">
        <v>1421</v>
      </c>
      <c r="C102" s="3" t="s">
        <v>512</v>
      </c>
      <c r="D102" s="4" t="s">
        <v>520</v>
      </c>
      <c r="E102" s="9">
        <v>45846</v>
      </c>
      <c r="F102" s="6" t="s">
        <v>89</v>
      </c>
      <c r="G102" s="6" t="s">
        <v>84</v>
      </c>
      <c r="H102" s="9"/>
      <c r="I102" s="7" t="s">
        <v>2043</v>
      </c>
      <c r="J102" s="4"/>
      <c r="K102" s="4"/>
      <c r="L102" s="4"/>
      <c r="M102" s="4" t="s">
        <v>1450</v>
      </c>
      <c r="N102" s="6" t="s">
        <v>1271</v>
      </c>
      <c r="O102" s="6"/>
      <c r="P102" s="1"/>
    </row>
    <row r="103" spans="1:16" ht="129.6">
      <c r="A103" s="1" t="s">
        <v>2044</v>
      </c>
      <c r="B103" s="1" t="s">
        <v>1421</v>
      </c>
      <c r="C103" s="3" t="s">
        <v>512</v>
      </c>
      <c r="D103" s="4" t="s">
        <v>520</v>
      </c>
      <c r="E103" s="9">
        <v>45846</v>
      </c>
      <c r="F103" s="6" t="s">
        <v>89</v>
      </c>
      <c r="G103" s="6" t="s">
        <v>7</v>
      </c>
      <c r="H103" s="9"/>
      <c r="I103" s="7" t="s">
        <v>2043</v>
      </c>
      <c r="J103" s="4"/>
      <c r="K103" s="4"/>
      <c r="L103" s="4"/>
      <c r="M103" s="4" t="s">
        <v>1450</v>
      </c>
      <c r="N103" s="6" t="s">
        <v>1271</v>
      </c>
      <c r="O103" s="6"/>
      <c r="P103" s="1"/>
    </row>
    <row r="104" spans="1:16" ht="86.45">
      <c r="A104" s="1" t="s">
        <v>2045</v>
      </c>
      <c r="B104" s="1" t="s">
        <v>1421</v>
      </c>
      <c r="C104" s="3" t="s">
        <v>512</v>
      </c>
      <c r="D104" s="4" t="s">
        <v>521</v>
      </c>
      <c r="E104" s="9">
        <v>45846</v>
      </c>
      <c r="F104" s="6" t="s">
        <v>88</v>
      </c>
      <c r="G104" s="6" t="s">
        <v>7</v>
      </c>
      <c r="H104" s="9"/>
      <c r="I104" s="7" t="s">
        <v>2046</v>
      </c>
      <c r="J104" s="4"/>
      <c r="K104" s="4"/>
      <c r="L104" s="4"/>
      <c r="M104" s="4" t="s">
        <v>1451</v>
      </c>
      <c r="N104" s="6" t="s">
        <v>1271</v>
      </c>
      <c r="O104" s="6"/>
      <c r="P104" s="1"/>
    </row>
    <row r="105" spans="1:16" ht="129.6">
      <c r="A105" s="1" t="s">
        <v>2047</v>
      </c>
      <c r="B105" s="1" t="s">
        <v>1421</v>
      </c>
      <c r="C105" s="3" t="s">
        <v>512</v>
      </c>
      <c r="D105" s="4" t="s">
        <v>522</v>
      </c>
      <c r="E105" s="9">
        <v>45846</v>
      </c>
      <c r="F105" s="6" t="s">
        <v>88</v>
      </c>
      <c r="G105" s="6" t="s">
        <v>7</v>
      </c>
      <c r="H105" s="9"/>
      <c r="I105" s="7" t="s">
        <v>2048</v>
      </c>
      <c r="J105" s="4"/>
      <c r="K105" s="4"/>
      <c r="L105" s="4"/>
      <c r="M105" s="4" t="s">
        <v>1454</v>
      </c>
      <c r="N105" s="6" t="s">
        <v>1271</v>
      </c>
      <c r="O105" s="6"/>
      <c r="P105" s="1"/>
    </row>
    <row r="106" spans="1:16" ht="86.45">
      <c r="A106" s="1" t="s">
        <v>2049</v>
      </c>
      <c r="B106" s="1" t="s">
        <v>1421</v>
      </c>
      <c r="C106" s="3" t="s">
        <v>523</v>
      </c>
      <c r="D106" s="4" t="s">
        <v>524</v>
      </c>
      <c r="E106" s="9">
        <v>45846</v>
      </c>
      <c r="F106" s="6" t="s">
        <v>88</v>
      </c>
      <c r="G106" s="6" t="s">
        <v>7</v>
      </c>
      <c r="H106" s="9"/>
      <c r="I106" s="7" t="s">
        <v>2050</v>
      </c>
      <c r="J106" s="4"/>
      <c r="K106" s="4" t="s">
        <v>859</v>
      </c>
      <c r="L106" s="4" t="s">
        <v>1456</v>
      </c>
      <c r="M106" s="4" t="s">
        <v>857</v>
      </c>
      <c r="N106" s="6" t="s">
        <v>1271</v>
      </c>
      <c r="O106" s="6"/>
      <c r="P106" s="1"/>
    </row>
    <row r="107" spans="1:16" ht="100.9">
      <c r="A107" s="1" t="s">
        <v>2051</v>
      </c>
      <c r="B107" s="1" t="s">
        <v>1421</v>
      </c>
      <c r="C107" s="3" t="s">
        <v>525</v>
      </c>
      <c r="D107" s="4" t="s">
        <v>526</v>
      </c>
      <c r="E107" s="9">
        <v>45846</v>
      </c>
      <c r="F107" s="6" t="s">
        <v>89</v>
      </c>
      <c r="G107" s="6" t="s">
        <v>85</v>
      </c>
      <c r="H107" s="9"/>
      <c r="I107" s="7" t="s">
        <v>2052</v>
      </c>
      <c r="J107" s="4"/>
      <c r="K107" s="4" t="s">
        <v>863</v>
      </c>
      <c r="L107" s="4" t="s">
        <v>1459</v>
      </c>
      <c r="M107" s="4" t="s">
        <v>862</v>
      </c>
      <c r="N107" s="6" t="s">
        <v>1271</v>
      </c>
      <c r="O107" s="6"/>
      <c r="P107" s="1"/>
    </row>
    <row r="108" spans="1:16" ht="100.9">
      <c r="A108" s="1" t="s">
        <v>2053</v>
      </c>
      <c r="B108" s="1" t="s">
        <v>1421</v>
      </c>
      <c r="C108" s="3" t="s">
        <v>525</v>
      </c>
      <c r="D108" s="4" t="s">
        <v>526</v>
      </c>
      <c r="E108" s="9">
        <v>45846</v>
      </c>
      <c r="F108" s="6" t="s">
        <v>89</v>
      </c>
      <c r="G108" s="6" t="s">
        <v>84</v>
      </c>
      <c r="H108" s="9"/>
      <c r="I108" s="7" t="s">
        <v>2052</v>
      </c>
      <c r="J108" s="4"/>
      <c r="K108" s="4" t="s">
        <v>863</v>
      </c>
      <c r="L108" s="4" t="s">
        <v>1459</v>
      </c>
      <c r="M108" s="4" t="s">
        <v>862</v>
      </c>
      <c r="N108" s="6" t="s">
        <v>1271</v>
      </c>
      <c r="O108" s="6"/>
      <c r="P108" s="1"/>
    </row>
    <row r="109" spans="1:16" ht="86.45">
      <c r="A109" s="1" t="s">
        <v>2054</v>
      </c>
      <c r="B109" s="1" t="s">
        <v>1421</v>
      </c>
      <c r="C109" s="3" t="s">
        <v>527</v>
      </c>
      <c r="D109" s="4" t="s">
        <v>528</v>
      </c>
      <c r="E109" s="9">
        <v>45846</v>
      </c>
      <c r="F109" s="6" t="s">
        <v>88</v>
      </c>
      <c r="G109" s="6" t="s">
        <v>7</v>
      </c>
      <c r="H109" s="9"/>
      <c r="I109" s="7" t="s">
        <v>2055</v>
      </c>
      <c r="J109" s="4"/>
      <c r="K109" s="4" t="s">
        <v>867</v>
      </c>
      <c r="L109" s="4" t="s">
        <v>1462</v>
      </c>
      <c r="M109" s="4" t="s">
        <v>866</v>
      </c>
      <c r="N109" s="6" t="s">
        <v>1271</v>
      </c>
      <c r="O109" s="6"/>
      <c r="P109" s="1"/>
    </row>
    <row r="110" spans="1:16" ht="43.15">
      <c r="A110" s="1" t="s">
        <v>2056</v>
      </c>
      <c r="B110" s="1" t="s">
        <v>1421</v>
      </c>
      <c r="C110" s="3" t="s">
        <v>527</v>
      </c>
      <c r="D110" s="4" t="s">
        <v>529</v>
      </c>
      <c r="E110" s="9">
        <v>45846</v>
      </c>
      <c r="F110" s="6" t="s">
        <v>87</v>
      </c>
      <c r="G110" s="6" t="s">
        <v>83</v>
      </c>
      <c r="H110" s="9">
        <v>45846</v>
      </c>
      <c r="I110" s="7" t="s">
        <v>2057</v>
      </c>
      <c r="J110" s="4"/>
      <c r="K110" s="4"/>
      <c r="L110" s="4"/>
      <c r="M110" s="4" t="s">
        <v>1464</v>
      </c>
      <c r="N110" s="6" t="s">
        <v>1271</v>
      </c>
      <c r="O110" s="6"/>
      <c r="P110" s="1">
        <v>0</v>
      </c>
    </row>
    <row r="111" spans="1:16" ht="43.15">
      <c r="A111" s="1" t="s">
        <v>2058</v>
      </c>
      <c r="B111" s="1" t="s">
        <v>1421</v>
      </c>
      <c r="C111" s="3" t="s">
        <v>527</v>
      </c>
      <c r="D111" s="4" t="s">
        <v>529</v>
      </c>
      <c r="E111" s="9">
        <v>45846</v>
      </c>
      <c r="F111" s="6" t="s">
        <v>88</v>
      </c>
      <c r="G111" s="6" t="s">
        <v>85</v>
      </c>
      <c r="H111" s="9"/>
      <c r="I111" s="7" t="s">
        <v>2057</v>
      </c>
      <c r="J111" s="4"/>
      <c r="K111" s="4"/>
      <c r="L111" s="4"/>
      <c r="M111" s="4" t="s">
        <v>1464</v>
      </c>
      <c r="N111" s="6" t="s">
        <v>1271</v>
      </c>
      <c r="O111" s="6"/>
      <c r="P111" s="1"/>
    </row>
    <row r="112" spans="1:16" ht="43.15">
      <c r="A112" s="1" t="s">
        <v>2059</v>
      </c>
      <c r="B112" s="1" t="s">
        <v>1421</v>
      </c>
      <c r="C112" s="3" t="s">
        <v>527</v>
      </c>
      <c r="D112" s="4" t="s">
        <v>529</v>
      </c>
      <c r="E112" s="9">
        <v>45846</v>
      </c>
      <c r="F112" s="6" t="s">
        <v>88</v>
      </c>
      <c r="G112" s="6" t="s">
        <v>84</v>
      </c>
      <c r="H112" s="9"/>
      <c r="I112" s="7" t="s">
        <v>2057</v>
      </c>
      <c r="J112" s="4"/>
      <c r="K112" s="4"/>
      <c r="L112" s="4"/>
      <c r="M112" s="4" t="s">
        <v>1464</v>
      </c>
      <c r="N112" s="6" t="s">
        <v>1271</v>
      </c>
      <c r="O112" s="6"/>
      <c r="P112" s="1"/>
    </row>
    <row r="113" spans="1:16" ht="86.45">
      <c r="A113" s="1" t="s">
        <v>2060</v>
      </c>
      <c r="B113" s="1" t="s">
        <v>1421</v>
      </c>
      <c r="C113" s="3" t="s">
        <v>527</v>
      </c>
      <c r="D113" s="4" t="s">
        <v>530</v>
      </c>
      <c r="E113" s="9">
        <v>45846</v>
      </c>
      <c r="F113" s="6" t="s">
        <v>88</v>
      </c>
      <c r="G113" s="6" t="s">
        <v>85</v>
      </c>
      <c r="H113" s="9"/>
      <c r="I113" s="7" t="s">
        <v>2061</v>
      </c>
      <c r="J113" s="4"/>
      <c r="K113" s="4"/>
      <c r="L113" s="4"/>
      <c r="M113" s="4" t="s">
        <v>1465</v>
      </c>
      <c r="N113" s="6" t="s">
        <v>1271</v>
      </c>
      <c r="O113" s="6"/>
      <c r="P113" s="1"/>
    </row>
    <row r="114" spans="1:16" ht="86.45">
      <c r="A114" s="1" t="s">
        <v>2062</v>
      </c>
      <c r="B114" s="1" t="s">
        <v>1421</v>
      </c>
      <c r="C114" s="3" t="s">
        <v>527</v>
      </c>
      <c r="D114" s="4" t="s">
        <v>530</v>
      </c>
      <c r="E114" s="9">
        <v>45846</v>
      </c>
      <c r="F114" s="6" t="s">
        <v>88</v>
      </c>
      <c r="G114" s="6" t="s">
        <v>84</v>
      </c>
      <c r="H114" s="9"/>
      <c r="I114" s="7" t="s">
        <v>2061</v>
      </c>
      <c r="J114" s="4"/>
      <c r="K114" s="4"/>
      <c r="L114" s="4"/>
      <c r="M114" s="4" t="s">
        <v>1465</v>
      </c>
      <c r="N114" s="6" t="s">
        <v>1271</v>
      </c>
      <c r="O114" s="6"/>
      <c r="P114" s="1"/>
    </row>
    <row r="115" spans="1:16" ht="86.45">
      <c r="A115" s="1" t="s">
        <v>2063</v>
      </c>
      <c r="B115" s="1" t="s">
        <v>1421</v>
      </c>
      <c r="C115" s="3" t="s">
        <v>527</v>
      </c>
      <c r="D115" s="4" t="s">
        <v>530</v>
      </c>
      <c r="E115" s="9">
        <v>45846</v>
      </c>
      <c r="F115" s="6" t="s">
        <v>88</v>
      </c>
      <c r="G115" s="6" t="s">
        <v>7</v>
      </c>
      <c r="H115" s="9"/>
      <c r="I115" s="7" t="s">
        <v>2061</v>
      </c>
      <c r="J115" s="4"/>
      <c r="K115" s="4"/>
      <c r="L115" s="4"/>
      <c r="M115" s="4" t="s">
        <v>1465</v>
      </c>
      <c r="N115" s="6" t="s">
        <v>1271</v>
      </c>
      <c r="O115" s="6"/>
      <c r="P115" s="1"/>
    </row>
    <row r="116" spans="1:16" ht="86.45">
      <c r="A116" s="1" t="s">
        <v>2064</v>
      </c>
      <c r="B116" s="1" t="s">
        <v>1421</v>
      </c>
      <c r="C116" s="3" t="s">
        <v>531</v>
      </c>
      <c r="D116" s="4" t="s">
        <v>532</v>
      </c>
      <c r="E116" s="9">
        <v>45846</v>
      </c>
      <c r="F116" s="6" t="s">
        <v>88</v>
      </c>
      <c r="G116" s="6" t="s">
        <v>7</v>
      </c>
      <c r="H116" s="9"/>
      <c r="I116" s="7" t="s">
        <v>2065</v>
      </c>
      <c r="J116" s="4"/>
      <c r="K116" s="4" t="s">
        <v>1467</v>
      </c>
      <c r="L116" s="4" t="s">
        <v>1468</v>
      </c>
      <c r="M116" s="4" t="s">
        <v>871</v>
      </c>
      <c r="N116" s="6" t="s">
        <v>1271</v>
      </c>
      <c r="O116" s="6"/>
      <c r="P116" s="1"/>
    </row>
    <row r="117" spans="1:16" ht="144">
      <c r="A117" s="1" t="s">
        <v>2066</v>
      </c>
      <c r="B117" s="1" t="s">
        <v>1421</v>
      </c>
      <c r="C117" s="3" t="s">
        <v>531</v>
      </c>
      <c r="D117" s="4" t="s">
        <v>533</v>
      </c>
      <c r="E117" s="9">
        <v>45846</v>
      </c>
      <c r="F117" s="6" t="s">
        <v>88</v>
      </c>
      <c r="G117" s="6" t="s">
        <v>7</v>
      </c>
      <c r="H117" s="9"/>
      <c r="I117" s="7" t="s">
        <v>2067</v>
      </c>
      <c r="J117" s="4"/>
      <c r="K117" s="4"/>
      <c r="L117" s="4"/>
      <c r="M117" s="4" t="s">
        <v>1470</v>
      </c>
      <c r="N117" s="6" t="s">
        <v>1271</v>
      </c>
      <c r="O117" s="6"/>
      <c r="P117" s="1"/>
    </row>
    <row r="118" spans="1:16" ht="100.9">
      <c r="A118" s="1" t="s">
        <v>2068</v>
      </c>
      <c r="B118" s="1" t="s">
        <v>1421</v>
      </c>
      <c r="C118" s="3" t="s">
        <v>534</v>
      </c>
      <c r="D118" s="4" t="s">
        <v>535</v>
      </c>
      <c r="E118" s="9">
        <v>45846</v>
      </c>
      <c r="F118" s="6" t="s">
        <v>88</v>
      </c>
      <c r="G118" s="6" t="s">
        <v>7</v>
      </c>
      <c r="H118" s="9"/>
      <c r="I118" s="7" t="s">
        <v>2069</v>
      </c>
      <c r="J118" s="4"/>
      <c r="K118" s="4" t="s">
        <v>1471</v>
      </c>
      <c r="L118" s="4" t="s">
        <v>1472</v>
      </c>
      <c r="M118" s="4" t="s">
        <v>876</v>
      </c>
      <c r="N118" s="6" t="s">
        <v>1271</v>
      </c>
      <c r="O118" s="6"/>
      <c r="P118" s="1"/>
    </row>
    <row r="119" spans="1:16" ht="28.9">
      <c r="A119" s="1" t="s">
        <v>2070</v>
      </c>
      <c r="B119" s="1" t="s">
        <v>1478</v>
      </c>
      <c r="C119" s="3" t="s">
        <v>536</v>
      </c>
      <c r="D119" s="4" t="s">
        <v>888</v>
      </c>
      <c r="E119" s="9">
        <v>45846</v>
      </c>
      <c r="F119" s="6" t="s">
        <v>87</v>
      </c>
      <c r="G119" s="6" t="s">
        <v>83</v>
      </c>
      <c r="H119" s="9">
        <v>45846</v>
      </c>
      <c r="I119" s="7" t="s">
        <v>2071</v>
      </c>
      <c r="J119" s="4"/>
      <c r="K119" s="4" t="s">
        <v>889</v>
      </c>
      <c r="L119" s="4" t="s">
        <v>1480</v>
      </c>
      <c r="M119" s="4" t="s">
        <v>887</v>
      </c>
      <c r="N119" s="6" t="s">
        <v>1271</v>
      </c>
      <c r="O119" s="6"/>
      <c r="P119" s="1">
        <v>0</v>
      </c>
    </row>
    <row r="120" spans="1:16" ht="100.9">
      <c r="A120" s="1" t="s">
        <v>2072</v>
      </c>
      <c r="B120" s="1" t="s">
        <v>1478</v>
      </c>
      <c r="C120" s="3" t="s">
        <v>536</v>
      </c>
      <c r="D120" s="4" t="s">
        <v>537</v>
      </c>
      <c r="E120" s="9">
        <v>45846</v>
      </c>
      <c r="F120" s="6" t="s">
        <v>88</v>
      </c>
      <c r="G120" s="6" t="s">
        <v>7</v>
      </c>
      <c r="H120" s="9"/>
      <c r="I120" s="7" t="s">
        <v>2073</v>
      </c>
      <c r="J120" s="4"/>
      <c r="K120" s="4"/>
      <c r="L120" s="4"/>
      <c r="M120" s="4" t="s">
        <v>1482</v>
      </c>
      <c r="N120" s="6" t="s">
        <v>1271</v>
      </c>
      <c r="O120" s="6"/>
      <c r="P120" s="1"/>
    </row>
    <row r="121" spans="1:16" ht="86.45">
      <c r="A121" s="1" t="s">
        <v>2074</v>
      </c>
      <c r="B121" s="1" t="s">
        <v>1478</v>
      </c>
      <c r="C121" s="3" t="s">
        <v>536</v>
      </c>
      <c r="D121" s="4" t="s">
        <v>538</v>
      </c>
      <c r="E121" s="9">
        <v>45846</v>
      </c>
      <c r="F121" s="6" t="s">
        <v>87</v>
      </c>
      <c r="G121" s="6" t="s">
        <v>83</v>
      </c>
      <c r="H121" s="9">
        <v>45846</v>
      </c>
      <c r="I121" s="7" t="s">
        <v>2075</v>
      </c>
      <c r="J121" s="4"/>
      <c r="K121" s="4"/>
      <c r="L121" s="4"/>
      <c r="M121" s="4" t="s">
        <v>1483</v>
      </c>
      <c r="N121" s="6" t="s">
        <v>1271</v>
      </c>
      <c r="O121" s="6"/>
      <c r="P121" s="1">
        <v>0</v>
      </c>
    </row>
    <row r="122" spans="1:16" ht="86.45">
      <c r="A122" s="1" t="s">
        <v>2076</v>
      </c>
      <c r="B122" s="1" t="s">
        <v>1478</v>
      </c>
      <c r="C122" s="3" t="s">
        <v>536</v>
      </c>
      <c r="D122" s="4" t="s">
        <v>538</v>
      </c>
      <c r="E122" s="9">
        <v>45846</v>
      </c>
      <c r="F122" s="6" t="s">
        <v>88</v>
      </c>
      <c r="G122" s="6" t="s">
        <v>85</v>
      </c>
      <c r="H122" s="9"/>
      <c r="I122" s="7" t="s">
        <v>2075</v>
      </c>
      <c r="J122" s="4"/>
      <c r="K122" s="4"/>
      <c r="L122" s="4"/>
      <c r="M122" s="4" t="s">
        <v>1483</v>
      </c>
      <c r="N122" s="6" t="s">
        <v>1271</v>
      </c>
      <c r="O122" s="6"/>
      <c r="P122" s="1"/>
    </row>
    <row r="123" spans="1:16" ht="86.45">
      <c r="A123" s="1" t="s">
        <v>2077</v>
      </c>
      <c r="B123" s="1" t="s">
        <v>1478</v>
      </c>
      <c r="C123" s="3" t="s">
        <v>536</v>
      </c>
      <c r="D123" s="4" t="s">
        <v>538</v>
      </c>
      <c r="E123" s="9">
        <v>45846</v>
      </c>
      <c r="F123" s="6" t="s">
        <v>88</v>
      </c>
      <c r="G123" s="6" t="s">
        <v>84</v>
      </c>
      <c r="H123" s="9"/>
      <c r="I123" s="7" t="s">
        <v>2075</v>
      </c>
      <c r="J123" s="4"/>
      <c r="K123" s="4"/>
      <c r="L123" s="4"/>
      <c r="M123" s="4" t="s">
        <v>1483</v>
      </c>
      <c r="N123" s="6" t="s">
        <v>1271</v>
      </c>
      <c r="O123" s="6"/>
      <c r="P123" s="1"/>
    </row>
    <row r="124" spans="1:16" ht="86.45">
      <c r="A124" s="1" t="s">
        <v>2078</v>
      </c>
      <c r="B124" s="1" t="s">
        <v>1478</v>
      </c>
      <c r="C124" s="3" t="s">
        <v>536</v>
      </c>
      <c r="D124" s="4" t="s">
        <v>538</v>
      </c>
      <c r="E124" s="9">
        <v>45846</v>
      </c>
      <c r="F124" s="6" t="s">
        <v>88</v>
      </c>
      <c r="G124" s="6" t="s">
        <v>7</v>
      </c>
      <c r="H124" s="9"/>
      <c r="I124" s="7" t="s">
        <v>2075</v>
      </c>
      <c r="J124" s="4"/>
      <c r="K124" s="4"/>
      <c r="L124" s="4"/>
      <c r="M124" s="4" t="s">
        <v>1483</v>
      </c>
      <c r="N124" s="6" t="s">
        <v>1271</v>
      </c>
      <c r="O124" s="6"/>
      <c r="P124" s="1"/>
    </row>
    <row r="125" spans="1:16" ht="43.15">
      <c r="A125" s="1" t="s">
        <v>2079</v>
      </c>
      <c r="B125" s="1" t="s">
        <v>1478</v>
      </c>
      <c r="C125" s="3" t="s">
        <v>539</v>
      </c>
      <c r="D125" s="4" t="s">
        <v>540</v>
      </c>
      <c r="E125" s="9">
        <v>45846</v>
      </c>
      <c r="F125" s="6" t="s">
        <v>87</v>
      </c>
      <c r="G125" s="6" t="s">
        <v>83</v>
      </c>
      <c r="H125" s="9">
        <v>45846</v>
      </c>
      <c r="I125" s="7" t="s">
        <v>2080</v>
      </c>
      <c r="J125" s="4"/>
      <c r="K125" s="4" t="s">
        <v>894</v>
      </c>
      <c r="L125" s="4" t="s">
        <v>1484</v>
      </c>
      <c r="M125" s="4" t="s">
        <v>892</v>
      </c>
      <c r="N125" s="6" t="s">
        <v>1271</v>
      </c>
      <c r="O125" s="6"/>
      <c r="P125" s="1">
        <v>0</v>
      </c>
    </row>
    <row r="126" spans="1:16" ht="43.15">
      <c r="A126" s="1" t="s">
        <v>2081</v>
      </c>
      <c r="B126" s="1" t="s">
        <v>1478</v>
      </c>
      <c r="C126" s="3" t="s">
        <v>539</v>
      </c>
      <c r="D126" s="4" t="s">
        <v>540</v>
      </c>
      <c r="E126" s="9">
        <v>45846</v>
      </c>
      <c r="F126" s="6" t="s">
        <v>88</v>
      </c>
      <c r="G126" s="6" t="s">
        <v>85</v>
      </c>
      <c r="H126" s="9"/>
      <c r="I126" s="7" t="s">
        <v>2080</v>
      </c>
      <c r="J126" s="4"/>
      <c r="K126" s="4" t="s">
        <v>894</v>
      </c>
      <c r="L126" s="4" t="s">
        <v>1484</v>
      </c>
      <c r="M126" s="4" t="s">
        <v>892</v>
      </c>
      <c r="N126" s="6" t="s">
        <v>1271</v>
      </c>
      <c r="O126" s="6"/>
      <c r="P126" s="1"/>
    </row>
    <row r="127" spans="1:16" ht="43.15">
      <c r="A127" s="1" t="s">
        <v>2082</v>
      </c>
      <c r="B127" s="1" t="s">
        <v>1478</v>
      </c>
      <c r="C127" s="3" t="s">
        <v>539</v>
      </c>
      <c r="D127" s="4" t="s">
        <v>540</v>
      </c>
      <c r="E127" s="9">
        <v>45846</v>
      </c>
      <c r="F127" s="6" t="s">
        <v>88</v>
      </c>
      <c r="G127" s="6" t="s">
        <v>84</v>
      </c>
      <c r="H127" s="9"/>
      <c r="I127" s="7" t="s">
        <v>2080</v>
      </c>
      <c r="J127" s="4"/>
      <c r="K127" s="4" t="s">
        <v>894</v>
      </c>
      <c r="L127" s="4" t="s">
        <v>1484</v>
      </c>
      <c r="M127" s="4" t="s">
        <v>892</v>
      </c>
      <c r="N127" s="6" t="s">
        <v>1271</v>
      </c>
      <c r="O127" s="6"/>
      <c r="P127" s="1"/>
    </row>
    <row r="128" spans="1:16" ht="43.15">
      <c r="A128" s="1" t="s">
        <v>2083</v>
      </c>
      <c r="B128" s="1" t="s">
        <v>1478</v>
      </c>
      <c r="C128" s="3" t="s">
        <v>539</v>
      </c>
      <c r="D128" s="4" t="s">
        <v>540</v>
      </c>
      <c r="E128" s="9">
        <v>45846</v>
      </c>
      <c r="F128" s="6" t="s">
        <v>88</v>
      </c>
      <c r="G128" s="6" t="s">
        <v>7</v>
      </c>
      <c r="H128" s="9"/>
      <c r="I128" s="7" t="s">
        <v>2080</v>
      </c>
      <c r="J128" s="4"/>
      <c r="K128" s="4" t="s">
        <v>894</v>
      </c>
      <c r="L128" s="4" t="s">
        <v>1484</v>
      </c>
      <c r="M128" s="4" t="s">
        <v>892</v>
      </c>
      <c r="N128" s="6" t="s">
        <v>1271</v>
      </c>
      <c r="O128" s="6"/>
      <c r="P128" s="1"/>
    </row>
    <row r="129" spans="1:16" ht="86.45">
      <c r="A129" s="1" t="s">
        <v>2084</v>
      </c>
      <c r="B129" s="1" t="s">
        <v>1478</v>
      </c>
      <c r="C129" s="3" t="s">
        <v>541</v>
      </c>
      <c r="D129" s="4" t="s">
        <v>542</v>
      </c>
      <c r="E129" s="9">
        <v>45846</v>
      </c>
      <c r="F129" s="6" t="s">
        <v>87</v>
      </c>
      <c r="G129" s="6" t="s">
        <v>83</v>
      </c>
      <c r="H129" s="9">
        <v>45846</v>
      </c>
      <c r="I129" s="7" t="s">
        <v>2085</v>
      </c>
      <c r="J129" s="4"/>
      <c r="K129" s="4" t="s">
        <v>904</v>
      </c>
      <c r="L129" s="4" t="s">
        <v>1493</v>
      </c>
      <c r="M129" s="4" t="s">
        <v>903</v>
      </c>
      <c r="N129" s="6" t="s">
        <v>1271</v>
      </c>
      <c r="O129" s="6"/>
      <c r="P129" s="1">
        <v>0</v>
      </c>
    </row>
    <row r="130" spans="1:16" ht="86.45">
      <c r="A130" s="1" t="s">
        <v>2086</v>
      </c>
      <c r="B130" s="1" t="s">
        <v>1478</v>
      </c>
      <c r="C130" s="3" t="s">
        <v>541</v>
      </c>
      <c r="D130" s="4" t="s">
        <v>542</v>
      </c>
      <c r="E130" s="9">
        <v>45846</v>
      </c>
      <c r="F130" s="6" t="s">
        <v>88</v>
      </c>
      <c r="G130" s="6" t="s">
        <v>7</v>
      </c>
      <c r="H130" s="9"/>
      <c r="I130" s="7" t="s">
        <v>2085</v>
      </c>
      <c r="J130" s="4"/>
      <c r="K130" s="4" t="s">
        <v>904</v>
      </c>
      <c r="L130" s="4" t="s">
        <v>1493</v>
      </c>
      <c r="M130" s="4" t="s">
        <v>903</v>
      </c>
      <c r="N130" s="6" t="s">
        <v>1271</v>
      </c>
      <c r="O130" s="6"/>
      <c r="P130" s="1"/>
    </row>
    <row r="131" spans="1:16" ht="28.9">
      <c r="A131" s="1" t="s">
        <v>2087</v>
      </c>
      <c r="B131" s="1" t="s">
        <v>1478</v>
      </c>
      <c r="C131" s="3" t="s">
        <v>541</v>
      </c>
      <c r="D131" s="4" t="s">
        <v>543</v>
      </c>
      <c r="E131" s="9">
        <v>45846</v>
      </c>
      <c r="F131" s="6" t="s">
        <v>88</v>
      </c>
      <c r="G131" s="6" t="s">
        <v>85</v>
      </c>
      <c r="H131" s="9"/>
      <c r="I131" s="7" t="s">
        <v>2088</v>
      </c>
      <c r="J131" s="4"/>
      <c r="K131" s="4"/>
      <c r="L131" s="4"/>
      <c r="M131" s="4" t="s">
        <v>1495</v>
      </c>
      <c r="N131" s="6" t="s">
        <v>1271</v>
      </c>
      <c r="O131" s="6"/>
      <c r="P131" s="1"/>
    </row>
    <row r="132" spans="1:16" ht="28.9">
      <c r="A132" s="1" t="s">
        <v>2089</v>
      </c>
      <c r="B132" s="1" t="s">
        <v>1478</v>
      </c>
      <c r="C132" s="3" t="s">
        <v>541</v>
      </c>
      <c r="D132" s="4" t="s">
        <v>543</v>
      </c>
      <c r="E132" s="9">
        <v>45846</v>
      </c>
      <c r="F132" s="6" t="s">
        <v>88</v>
      </c>
      <c r="G132" s="6" t="s">
        <v>84</v>
      </c>
      <c r="H132" s="9"/>
      <c r="I132" s="7" t="s">
        <v>2088</v>
      </c>
      <c r="J132" s="4"/>
      <c r="K132" s="4"/>
      <c r="L132" s="4"/>
      <c r="M132" s="4" t="s">
        <v>1495</v>
      </c>
      <c r="N132" s="6" t="s">
        <v>1271</v>
      </c>
      <c r="O132" s="6"/>
      <c r="P132" s="1"/>
    </row>
    <row r="133" spans="1:16">
      <c r="A133" s="1" t="s">
        <v>2090</v>
      </c>
      <c r="B133" s="1" t="s">
        <v>1478</v>
      </c>
      <c r="C133" s="3" t="s">
        <v>541</v>
      </c>
      <c r="D133" s="4" t="s">
        <v>544</v>
      </c>
      <c r="E133" s="9">
        <v>45846</v>
      </c>
      <c r="F133" s="6" t="s">
        <v>88</v>
      </c>
      <c r="G133" s="6" t="s">
        <v>85</v>
      </c>
      <c r="H133" s="9"/>
      <c r="I133" s="7"/>
      <c r="J133" s="4"/>
      <c r="K133" s="4"/>
      <c r="L133" s="4"/>
      <c r="M133" s="4" t="s">
        <v>1496</v>
      </c>
      <c r="N133" s="6" t="s">
        <v>1271</v>
      </c>
      <c r="O133" s="6"/>
      <c r="P133" s="1"/>
    </row>
    <row r="134" spans="1:16">
      <c r="A134" s="1" t="s">
        <v>2091</v>
      </c>
      <c r="B134" s="1" t="s">
        <v>1478</v>
      </c>
      <c r="C134" s="3" t="s">
        <v>541</v>
      </c>
      <c r="D134" s="4" t="s">
        <v>544</v>
      </c>
      <c r="E134" s="9">
        <v>45846</v>
      </c>
      <c r="F134" s="6" t="s">
        <v>88</v>
      </c>
      <c r="G134" s="6" t="s">
        <v>84</v>
      </c>
      <c r="H134" s="9"/>
      <c r="I134" s="7"/>
      <c r="J134" s="4"/>
      <c r="K134" s="4"/>
      <c r="L134" s="4"/>
      <c r="M134" s="4" t="s">
        <v>1496</v>
      </c>
      <c r="N134" s="6" t="s">
        <v>1271</v>
      </c>
      <c r="O134" s="6"/>
      <c r="P134" s="1"/>
    </row>
    <row r="135" spans="1:16" ht="28.9">
      <c r="A135" s="1" t="s">
        <v>2092</v>
      </c>
      <c r="B135" s="1" t="s">
        <v>1478</v>
      </c>
      <c r="C135" s="3" t="s">
        <v>541</v>
      </c>
      <c r="D135" s="4" t="s">
        <v>545</v>
      </c>
      <c r="E135" s="9">
        <v>45846</v>
      </c>
      <c r="F135" s="6" t="s">
        <v>88</v>
      </c>
      <c r="G135" s="6" t="s">
        <v>7</v>
      </c>
      <c r="H135" s="9"/>
      <c r="I135" s="7"/>
      <c r="J135" s="4"/>
      <c r="K135" s="4"/>
      <c r="L135" s="4"/>
      <c r="M135" s="4" t="s">
        <v>1497</v>
      </c>
      <c r="N135" s="6" t="s">
        <v>1271</v>
      </c>
      <c r="O135" s="6"/>
      <c r="P135" s="1"/>
    </row>
    <row r="136" spans="1:16" ht="28.9">
      <c r="A136" s="1" t="s">
        <v>2093</v>
      </c>
      <c r="B136" s="1" t="s">
        <v>1478</v>
      </c>
      <c r="C136" s="3" t="s">
        <v>541</v>
      </c>
      <c r="D136" s="4" t="s">
        <v>546</v>
      </c>
      <c r="E136" s="9">
        <v>45846</v>
      </c>
      <c r="F136" s="6" t="s">
        <v>88</v>
      </c>
      <c r="G136" s="6" t="s">
        <v>85</v>
      </c>
      <c r="H136" s="9"/>
      <c r="I136" s="7"/>
      <c r="J136" s="4"/>
      <c r="K136" s="4"/>
      <c r="L136" s="4"/>
      <c r="M136" s="4" t="s">
        <v>1498</v>
      </c>
      <c r="N136" s="6" t="s">
        <v>1271</v>
      </c>
      <c r="O136" s="6"/>
      <c r="P136" s="1"/>
    </row>
    <row r="137" spans="1:16" ht="28.9">
      <c r="A137" s="1" t="s">
        <v>2094</v>
      </c>
      <c r="B137" s="1" t="s">
        <v>1478</v>
      </c>
      <c r="C137" s="3" t="s">
        <v>541</v>
      </c>
      <c r="D137" s="4" t="s">
        <v>546</v>
      </c>
      <c r="E137" s="9">
        <v>45846</v>
      </c>
      <c r="F137" s="6" t="s">
        <v>88</v>
      </c>
      <c r="G137" s="6" t="s">
        <v>84</v>
      </c>
      <c r="H137" s="9"/>
      <c r="I137" s="7"/>
      <c r="J137" s="4"/>
      <c r="K137" s="4"/>
      <c r="L137" s="4"/>
      <c r="M137" s="4" t="s">
        <v>1498</v>
      </c>
      <c r="N137" s="6" t="s">
        <v>1271</v>
      </c>
      <c r="O137" s="6"/>
      <c r="P137" s="1"/>
    </row>
    <row r="138" spans="1:16" ht="28.9">
      <c r="A138" s="1" t="s">
        <v>2095</v>
      </c>
      <c r="B138" s="1" t="s">
        <v>1478</v>
      </c>
      <c r="C138" s="3" t="s">
        <v>541</v>
      </c>
      <c r="D138" s="4" t="s">
        <v>547</v>
      </c>
      <c r="E138" s="9">
        <v>45846</v>
      </c>
      <c r="F138" s="6" t="s">
        <v>88</v>
      </c>
      <c r="G138" s="6" t="s">
        <v>85</v>
      </c>
      <c r="H138" s="9"/>
      <c r="I138" s="7" t="s">
        <v>2096</v>
      </c>
      <c r="J138" s="4"/>
      <c r="K138" s="4"/>
      <c r="L138" s="4"/>
      <c r="M138" s="4" t="s">
        <v>1499</v>
      </c>
      <c r="N138" s="6" t="s">
        <v>1271</v>
      </c>
      <c r="O138" s="6"/>
      <c r="P138" s="1"/>
    </row>
    <row r="139" spans="1:16" ht="28.9">
      <c r="A139" s="1" t="s">
        <v>2097</v>
      </c>
      <c r="B139" s="1" t="s">
        <v>1478</v>
      </c>
      <c r="C139" s="3" t="s">
        <v>541</v>
      </c>
      <c r="D139" s="4" t="s">
        <v>547</v>
      </c>
      <c r="E139" s="9">
        <v>45846</v>
      </c>
      <c r="F139" s="6" t="s">
        <v>88</v>
      </c>
      <c r="G139" s="6" t="s">
        <v>84</v>
      </c>
      <c r="H139" s="9"/>
      <c r="I139" s="7" t="s">
        <v>2096</v>
      </c>
      <c r="J139" s="4"/>
      <c r="K139" s="4"/>
      <c r="L139" s="4"/>
      <c r="M139" s="4" t="s">
        <v>1499</v>
      </c>
      <c r="N139" s="6" t="s">
        <v>1271</v>
      </c>
      <c r="O139" s="6"/>
      <c r="P139" s="1"/>
    </row>
    <row r="140" spans="1:16" ht="28.9">
      <c r="A140" s="1" t="s">
        <v>2098</v>
      </c>
      <c r="B140" s="1" t="s">
        <v>1478</v>
      </c>
      <c r="C140" s="3" t="s">
        <v>541</v>
      </c>
      <c r="D140" s="4" t="s">
        <v>548</v>
      </c>
      <c r="E140" s="9">
        <v>45846</v>
      </c>
      <c r="F140" s="6" t="s">
        <v>88</v>
      </c>
      <c r="G140" s="6" t="s">
        <v>85</v>
      </c>
      <c r="H140" s="9"/>
      <c r="I140" s="7" t="s">
        <v>2057</v>
      </c>
      <c r="J140" s="4"/>
      <c r="K140" s="4"/>
      <c r="L140" s="4"/>
      <c r="M140" s="4" t="s">
        <v>1500</v>
      </c>
      <c r="N140" s="6" t="s">
        <v>1271</v>
      </c>
      <c r="O140" s="6"/>
      <c r="P140" s="1"/>
    </row>
    <row r="141" spans="1:16" ht="28.9">
      <c r="A141" s="1" t="s">
        <v>2099</v>
      </c>
      <c r="B141" s="1" t="s">
        <v>1478</v>
      </c>
      <c r="C141" s="3" t="s">
        <v>541</v>
      </c>
      <c r="D141" s="4" t="s">
        <v>548</v>
      </c>
      <c r="E141" s="9">
        <v>45846</v>
      </c>
      <c r="F141" s="6" t="s">
        <v>88</v>
      </c>
      <c r="G141" s="6" t="s">
        <v>84</v>
      </c>
      <c r="H141" s="9"/>
      <c r="I141" s="7" t="s">
        <v>2057</v>
      </c>
      <c r="J141" s="4"/>
      <c r="K141" s="4"/>
      <c r="L141" s="4"/>
      <c r="M141" s="4" t="s">
        <v>1500</v>
      </c>
      <c r="N141" s="6" t="s">
        <v>1271</v>
      </c>
      <c r="O141" s="6"/>
      <c r="P141" s="1"/>
    </row>
    <row r="142" spans="1:16" ht="72">
      <c r="A142" s="1" t="s">
        <v>2100</v>
      </c>
      <c r="B142" s="1" t="s">
        <v>1478</v>
      </c>
      <c r="C142" s="3" t="s">
        <v>549</v>
      </c>
      <c r="D142" s="4" t="s">
        <v>550</v>
      </c>
      <c r="E142" s="9">
        <v>45846</v>
      </c>
      <c r="F142" s="6" t="s">
        <v>88</v>
      </c>
      <c r="G142" s="6" t="s">
        <v>7</v>
      </c>
      <c r="H142" s="9"/>
      <c r="I142" s="7" t="s">
        <v>2101</v>
      </c>
      <c r="J142" s="4"/>
      <c r="K142" s="4" t="s">
        <v>1502</v>
      </c>
      <c r="L142" s="4" t="s">
        <v>1503</v>
      </c>
      <c r="M142" s="4" t="s">
        <v>907</v>
      </c>
      <c r="N142" s="6" t="s">
        <v>1271</v>
      </c>
      <c r="O142" s="6"/>
      <c r="P142" s="1"/>
    </row>
    <row r="143" spans="1:16" ht="28.9">
      <c r="A143" s="1" t="s">
        <v>2102</v>
      </c>
      <c r="B143" s="1" t="s">
        <v>1478</v>
      </c>
      <c r="C143" s="3" t="s">
        <v>549</v>
      </c>
      <c r="D143" s="4" t="s">
        <v>551</v>
      </c>
      <c r="E143" s="9">
        <v>45846</v>
      </c>
      <c r="F143" s="6" t="s">
        <v>88</v>
      </c>
      <c r="G143" s="6" t="s">
        <v>7</v>
      </c>
      <c r="H143" s="9"/>
      <c r="I143" s="7" t="s">
        <v>2103</v>
      </c>
      <c r="J143" s="4"/>
      <c r="K143" s="4"/>
      <c r="L143" s="4"/>
      <c r="M143" s="4" t="s">
        <v>1505</v>
      </c>
      <c r="N143" s="6" t="s">
        <v>1271</v>
      </c>
      <c r="O143" s="6"/>
      <c r="P143" s="1"/>
    </row>
    <row r="144" spans="1:16" ht="86.45">
      <c r="A144" s="1" t="s">
        <v>2104</v>
      </c>
      <c r="B144" s="1" t="s">
        <v>1478</v>
      </c>
      <c r="C144" s="3" t="s">
        <v>552</v>
      </c>
      <c r="D144" s="4" t="s">
        <v>553</v>
      </c>
      <c r="E144" s="9">
        <v>45846</v>
      </c>
      <c r="F144" s="6" t="s">
        <v>87</v>
      </c>
      <c r="G144" s="6" t="s">
        <v>83</v>
      </c>
      <c r="H144" s="9">
        <v>45846</v>
      </c>
      <c r="I144" s="7" t="s">
        <v>2105</v>
      </c>
      <c r="J144" s="4"/>
      <c r="K144" s="4" t="s">
        <v>1512</v>
      </c>
      <c r="L144" s="4" t="s">
        <v>1513</v>
      </c>
      <c r="M144" s="4" t="s">
        <v>916</v>
      </c>
      <c r="N144" s="6" t="s">
        <v>1271</v>
      </c>
      <c r="O144" s="6"/>
      <c r="P144" s="1">
        <v>0</v>
      </c>
    </row>
    <row r="145" spans="1:16" ht="86.45">
      <c r="A145" s="1" t="s">
        <v>2106</v>
      </c>
      <c r="B145" s="1" t="s">
        <v>1478</v>
      </c>
      <c r="C145" s="3" t="s">
        <v>552</v>
      </c>
      <c r="D145" s="4" t="s">
        <v>553</v>
      </c>
      <c r="E145" s="9">
        <v>45846</v>
      </c>
      <c r="F145" s="6" t="s">
        <v>88</v>
      </c>
      <c r="G145" s="6" t="s">
        <v>85</v>
      </c>
      <c r="H145" s="9"/>
      <c r="I145" s="7" t="s">
        <v>2105</v>
      </c>
      <c r="J145" s="4"/>
      <c r="K145" s="4" t="s">
        <v>1512</v>
      </c>
      <c r="L145" s="4" t="s">
        <v>1513</v>
      </c>
      <c r="M145" s="4" t="s">
        <v>916</v>
      </c>
      <c r="N145" s="6" t="s">
        <v>1271</v>
      </c>
      <c r="O145" s="6"/>
      <c r="P145" s="1"/>
    </row>
    <row r="146" spans="1:16" ht="86.45">
      <c r="A146" s="1" t="s">
        <v>2107</v>
      </c>
      <c r="B146" s="1" t="s">
        <v>1478</v>
      </c>
      <c r="C146" s="3" t="s">
        <v>552</v>
      </c>
      <c r="D146" s="4" t="s">
        <v>553</v>
      </c>
      <c r="E146" s="9">
        <v>45846</v>
      </c>
      <c r="F146" s="6" t="s">
        <v>88</v>
      </c>
      <c r="G146" s="6" t="s">
        <v>84</v>
      </c>
      <c r="H146" s="9"/>
      <c r="I146" s="7" t="s">
        <v>2105</v>
      </c>
      <c r="J146" s="4"/>
      <c r="K146" s="4" t="s">
        <v>1512</v>
      </c>
      <c r="L146" s="4" t="s">
        <v>1513</v>
      </c>
      <c r="M146" s="4" t="s">
        <v>916</v>
      </c>
      <c r="N146" s="6" t="s">
        <v>1271</v>
      </c>
      <c r="O146" s="6"/>
      <c r="P146" s="1"/>
    </row>
    <row r="147" spans="1:16" ht="86.45">
      <c r="A147" s="1" t="s">
        <v>2108</v>
      </c>
      <c r="B147" s="1" t="s">
        <v>1478</v>
      </c>
      <c r="C147" s="3" t="s">
        <v>552</v>
      </c>
      <c r="D147" s="4" t="s">
        <v>553</v>
      </c>
      <c r="E147" s="9">
        <v>45846</v>
      </c>
      <c r="F147" s="6" t="s">
        <v>88</v>
      </c>
      <c r="G147" s="6" t="s">
        <v>7</v>
      </c>
      <c r="H147" s="9"/>
      <c r="I147" s="7" t="s">
        <v>2105</v>
      </c>
      <c r="J147" s="4"/>
      <c r="K147" s="4" t="s">
        <v>1512</v>
      </c>
      <c r="L147" s="4" t="s">
        <v>1513</v>
      </c>
      <c r="M147" s="4" t="s">
        <v>916</v>
      </c>
      <c r="N147" s="6" t="s">
        <v>1271</v>
      </c>
      <c r="O147" s="6"/>
      <c r="P147" s="1"/>
    </row>
    <row r="148" spans="1:16" ht="43.15">
      <c r="A148" s="1" t="s">
        <v>2109</v>
      </c>
      <c r="B148" s="1" t="s">
        <v>1478</v>
      </c>
      <c r="C148" s="3" t="s">
        <v>552</v>
      </c>
      <c r="D148" s="4" t="s">
        <v>554</v>
      </c>
      <c r="E148" s="9">
        <v>45846</v>
      </c>
      <c r="F148" s="6" t="s">
        <v>88</v>
      </c>
      <c r="G148" s="6" t="s">
        <v>7</v>
      </c>
      <c r="H148" s="9"/>
      <c r="I148" s="7" t="s">
        <v>2110</v>
      </c>
      <c r="J148" s="4"/>
      <c r="K148" s="4"/>
      <c r="L148" s="4"/>
      <c r="M148" s="4" t="s">
        <v>1515</v>
      </c>
      <c r="N148" s="6" t="s">
        <v>1271</v>
      </c>
      <c r="O148" s="6"/>
      <c r="P148" s="1"/>
    </row>
    <row r="149" spans="1:16" ht="28.9">
      <c r="A149" s="1" t="s">
        <v>2111</v>
      </c>
      <c r="B149" s="1" t="s">
        <v>1478</v>
      </c>
      <c r="C149" s="3" t="s">
        <v>552</v>
      </c>
      <c r="D149" s="4" t="s">
        <v>555</v>
      </c>
      <c r="E149" s="9">
        <v>45846</v>
      </c>
      <c r="F149" s="6" t="s">
        <v>88</v>
      </c>
      <c r="G149" s="6" t="s">
        <v>85</v>
      </c>
      <c r="H149" s="9"/>
      <c r="I149" s="7" t="s">
        <v>2112</v>
      </c>
      <c r="J149" s="4"/>
      <c r="K149" s="4"/>
      <c r="L149" s="4"/>
      <c r="M149" s="4" t="s">
        <v>1516</v>
      </c>
      <c r="N149" s="6" t="s">
        <v>1271</v>
      </c>
      <c r="O149" s="6"/>
      <c r="P149" s="1"/>
    </row>
    <row r="150" spans="1:16" ht="28.9">
      <c r="A150" s="1" t="s">
        <v>2113</v>
      </c>
      <c r="B150" s="1" t="s">
        <v>1478</v>
      </c>
      <c r="C150" s="3" t="s">
        <v>552</v>
      </c>
      <c r="D150" s="4" t="s">
        <v>555</v>
      </c>
      <c r="E150" s="9">
        <v>45846</v>
      </c>
      <c r="F150" s="6" t="s">
        <v>88</v>
      </c>
      <c r="G150" s="6" t="s">
        <v>84</v>
      </c>
      <c r="H150" s="9"/>
      <c r="I150" s="7" t="s">
        <v>2112</v>
      </c>
      <c r="J150" s="4"/>
      <c r="K150" s="4"/>
      <c r="L150" s="4"/>
      <c r="M150" s="4" t="s">
        <v>1516</v>
      </c>
      <c r="N150" s="6" t="s">
        <v>1271</v>
      </c>
      <c r="O150" s="6"/>
      <c r="P150" s="1"/>
    </row>
    <row r="151" spans="1:16" ht="28.9">
      <c r="A151" s="1" t="s">
        <v>2114</v>
      </c>
      <c r="B151" s="1" t="s">
        <v>1478</v>
      </c>
      <c r="C151" s="3" t="s">
        <v>552</v>
      </c>
      <c r="D151" s="4" t="s">
        <v>555</v>
      </c>
      <c r="E151" s="9">
        <v>45846</v>
      </c>
      <c r="F151" s="6" t="s">
        <v>88</v>
      </c>
      <c r="G151" s="6" t="s">
        <v>7</v>
      </c>
      <c r="H151" s="9"/>
      <c r="I151" s="7" t="s">
        <v>2112</v>
      </c>
      <c r="J151" s="4"/>
      <c r="K151" s="4"/>
      <c r="L151" s="4"/>
      <c r="M151" s="4" t="s">
        <v>1516</v>
      </c>
      <c r="N151" s="6" t="s">
        <v>1271</v>
      </c>
      <c r="O151" s="6"/>
      <c r="P151" s="1"/>
    </row>
    <row r="152" spans="1:16" ht="28.9">
      <c r="A152" s="1" t="s">
        <v>2115</v>
      </c>
      <c r="B152" s="1" t="s">
        <v>1478</v>
      </c>
      <c r="C152" s="3" t="s">
        <v>552</v>
      </c>
      <c r="D152" s="4" t="s">
        <v>556</v>
      </c>
      <c r="E152" s="9">
        <v>45846</v>
      </c>
      <c r="F152" s="6" t="s">
        <v>89</v>
      </c>
      <c r="G152" s="6" t="s">
        <v>85</v>
      </c>
      <c r="H152" s="9"/>
      <c r="I152" s="7" t="s">
        <v>2116</v>
      </c>
      <c r="J152" s="4"/>
      <c r="K152" s="4"/>
      <c r="L152" s="4"/>
      <c r="M152" s="4" t="s">
        <v>1517</v>
      </c>
      <c r="N152" s="6" t="s">
        <v>1271</v>
      </c>
      <c r="O152" s="6"/>
      <c r="P152" s="1"/>
    </row>
    <row r="153" spans="1:16" ht="28.9">
      <c r="A153" s="1" t="s">
        <v>2117</v>
      </c>
      <c r="B153" s="1" t="s">
        <v>1478</v>
      </c>
      <c r="C153" s="3" t="s">
        <v>552</v>
      </c>
      <c r="D153" s="4" t="s">
        <v>556</v>
      </c>
      <c r="E153" s="9">
        <v>45846</v>
      </c>
      <c r="F153" s="6" t="s">
        <v>89</v>
      </c>
      <c r="G153" s="6" t="s">
        <v>84</v>
      </c>
      <c r="H153" s="9"/>
      <c r="I153" s="7" t="s">
        <v>2116</v>
      </c>
      <c r="J153" s="4"/>
      <c r="K153" s="4"/>
      <c r="L153" s="4"/>
      <c r="M153" s="4" t="s">
        <v>1517</v>
      </c>
      <c r="N153" s="6" t="s">
        <v>1271</v>
      </c>
      <c r="O153" s="6"/>
      <c r="P153" s="1"/>
    </row>
    <row r="154" spans="1:16" ht="28.9">
      <c r="A154" s="1" t="s">
        <v>2118</v>
      </c>
      <c r="B154" s="1" t="s">
        <v>1478</v>
      </c>
      <c r="C154" s="3" t="s">
        <v>557</v>
      </c>
      <c r="D154" s="4" t="s">
        <v>558</v>
      </c>
      <c r="E154" s="9">
        <v>45846</v>
      </c>
      <c r="F154" s="6" t="s">
        <v>87</v>
      </c>
      <c r="G154" s="6" t="s">
        <v>83</v>
      </c>
      <c r="H154" s="9">
        <v>45846</v>
      </c>
      <c r="I154" s="7" t="s">
        <v>2116</v>
      </c>
      <c r="J154" s="4"/>
      <c r="K154" s="4" t="s">
        <v>923</v>
      </c>
      <c r="L154" s="4" t="s">
        <v>1519</v>
      </c>
      <c r="M154" s="4" t="s">
        <v>921</v>
      </c>
      <c r="N154" s="6" t="s">
        <v>1271</v>
      </c>
      <c r="O154" s="6"/>
      <c r="P154" s="1">
        <v>0</v>
      </c>
    </row>
    <row r="155" spans="1:16" ht="28.9">
      <c r="A155" s="1" t="s">
        <v>2119</v>
      </c>
      <c r="B155" s="1" t="s">
        <v>1478</v>
      </c>
      <c r="C155" s="3" t="s">
        <v>557</v>
      </c>
      <c r="D155" s="4" t="s">
        <v>558</v>
      </c>
      <c r="E155" s="9">
        <v>45846</v>
      </c>
      <c r="F155" s="6" t="s">
        <v>88</v>
      </c>
      <c r="G155" s="6" t="s">
        <v>85</v>
      </c>
      <c r="H155" s="9"/>
      <c r="I155" s="7" t="s">
        <v>2116</v>
      </c>
      <c r="J155" s="4"/>
      <c r="K155" s="4" t="s">
        <v>923</v>
      </c>
      <c r="L155" s="4" t="s">
        <v>1519</v>
      </c>
      <c r="M155" s="4" t="s">
        <v>921</v>
      </c>
      <c r="N155" s="6" t="s">
        <v>1271</v>
      </c>
      <c r="O155" s="6"/>
      <c r="P155" s="1"/>
    </row>
    <row r="156" spans="1:16" ht="28.9">
      <c r="A156" s="1" t="s">
        <v>2120</v>
      </c>
      <c r="B156" s="1" t="s">
        <v>1478</v>
      </c>
      <c r="C156" s="3" t="s">
        <v>557</v>
      </c>
      <c r="D156" s="4" t="s">
        <v>558</v>
      </c>
      <c r="E156" s="9">
        <v>45846</v>
      </c>
      <c r="F156" s="6" t="s">
        <v>88</v>
      </c>
      <c r="G156" s="6" t="s">
        <v>84</v>
      </c>
      <c r="H156" s="9"/>
      <c r="I156" s="7" t="s">
        <v>2116</v>
      </c>
      <c r="J156" s="4"/>
      <c r="K156" s="4" t="s">
        <v>923</v>
      </c>
      <c r="L156" s="4" t="s">
        <v>1519</v>
      </c>
      <c r="M156" s="4" t="s">
        <v>921</v>
      </c>
      <c r="N156" s="6" t="s">
        <v>1271</v>
      </c>
      <c r="O156" s="6"/>
      <c r="P156" s="1"/>
    </row>
    <row r="157" spans="1:16" ht="28.9">
      <c r="A157" s="1" t="s">
        <v>2121</v>
      </c>
      <c r="B157" s="1" t="s">
        <v>1478</v>
      </c>
      <c r="C157" s="3" t="s">
        <v>557</v>
      </c>
      <c r="D157" s="4" t="s">
        <v>558</v>
      </c>
      <c r="E157" s="9">
        <v>45846</v>
      </c>
      <c r="F157" s="6" t="s">
        <v>88</v>
      </c>
      <c r="G157" s="6" t="s">
        <v>7</v>
      </c>
      <c r="H157" s="9"/>
      <c r="I157" s="7" t="s">
        <v>2116</v>
      </c>
      <c r="J157" s="4"/>
      <c r="K157" s="4" t="s">
        <v>923</v>
      </c>
      <c r="L157" s="4" t="s">
        <v>1519</v>
      </c>
      <c r="M157" s="4" t="s">
        <v>921</v>
      </c>
      <c r="N157" s="6" t="s">
        <v>1271</v>
      </c>
      <c r="O157" s="6"/>
      <c r="P157" s="1"/>
    </row>
    <row r="158" spans="1:16" ht="28.9">
      <c r="A158" s="1" t="s">
        <v>2122</v>
      </c>
      <c r="B158" s="1" t="s">
        <v>1478</v>
      </c>
      <c r="C158" s="3" t="s">
        <v>559</v>
      </c>
      <c r="D158" s="4" t="s">
        <v>560</v>
      </c>
      <c r="E158" s="9">
        <v>45846</v>
      </c>
      <c r="F158" s="6" t="s">
        <v>87</v>
      </c>
      <c r="G158" s="6" t="s">
        <v>83</v>
      </c>
      <c r="H158" s="9">
        <v>45846</v>
      </c>
      <c r="I158" s="7"/>
      <c r="J158" s="4"/>
      <c r="K158" s="4" t="s">
        <v>926</v>
      </c>
      <c r="L158" s="4" t="s">
        <v>1522</v>
      </c>
      <c r="M158" s="4" t="s">
        <v>925</v>
      </c>
      <c r="N158" s="6" t="s">
        <v>1271</v>
      </c>
      <c r="O158" s="6"/>
      <c r="P158" s="1">
        <v>0</v>
      </c>
    </row>
    <row r="159" spans="1:16" ht="28.9">
      <c r="A159" s="1" t="s">
        <v>2123</v>
      </c>
      <c r="B159" s="1" t="s">
        <v>1478</v>
      </c>
      <c r="C159" s="3" t="s">
        <v>559</v>
      </c>
      <c r="D159" s="4" t="s">
        <v>560</v>
      </c>
      <c r="E159" s="9">
        <v>45846</v>
      </c>
      <c r="F159" s="6" t="s">
        <v>88</v>
      </c>
      <c r="G159" s="6" t="s">
        <v>85</v>
      </c>
      <c r="H159" s="9"/>
      <c r="I159" s="7"/>
      <c r="J159" s="4"/>
      <c r="K159" s="4" t="s">
        <v>926</v>
      </c>
      <c r="L159" s="4" t="s">
        <v>1522</v>
      </c>
      <c r="M159" s="4" t="s">
        <v>925</v>
      </c>
      <c r="N159" s="6" t="s">
        <v>1271</v>
      </c>
      <c r="O159" s="6"/>
      <c r="P159" s="1"/>
    </row>
    <row r="160" spans="1:16" ht="28.9">
      <c r="A160" s="1" t="s">
        <v>2124</v>
      </c>
      <c r="B160" s="1" t="s">
        <v>1478</v>
      </c>
      <c r="C160" s="3" t="s">
        <v>559</v>
      </c>
      <c r="D160" s="4" t="s">
        <v>560</v>
      </c>
      <c r="E160" s="9">
        <v>45846</v>
      </c>
      <c r="F160" s="6" t="s">
        <v>88</v>
      </c>
      <c r="G160" s="6" t="s">
        <v>84</v>
      </c>
      <c r="H160" s="9"/>
      <c r="I160" s="7"/>
      <c r="J160" s="4"/>
      <c r="K160" s="4" t="s">
        <v>926</v>
      </c>
      <c r="L160" s="4" t="s">
        <v>1522</v>
      </c>
      <c r="M160" s="4" t="s">
        <v>925</v>
      </c>
      <c r="N160" s="6" t="s">
        <v>1271</v>
      </c>
      <c r="O160" s="6"/>
      <c r="P160" s="1"/>
    </row>
    <row r="161" spans="1:16" ht="28.9">
      <c r="A161" s="1" t="s">
        <v>2125</v>
      </c>
      <c r="B161" s="1" t="s">
        <v>1478</v>
      </c>
      <c r="C161" s="3" t="s">
        <v>559</v>
      </c>
      <c r="D161" s="4" t="s">
        <v>560</v>
      </c>
      <c r="E161" s="9">
        <v>45846</v>
      </c>
      <c r="F161" s="6" t="s">
        <v>88</v>
      </c>
      <c r="G161" s="6" t="s">
        <v>7</v>
      </c>
      <c r="H161" s="9"/>
      <c r="I161" s="7"/>
      <c r="J161" s="4"/>
      <c r="K161" s="4" t="s">
        <v>926</v>
      </c>
      <c r="L161" s="4" t="s">
        <v>1522</v>
      </c>
      <c r="M161" s="4" t="s">
        <v>925</v>
      </c>
      <c r="N161" s="6" t="s">
        <v>1271</v>
      </c>
      <c r="O161" s="6"/>
      <c r="P161" s="1"/>
    </row>
    <row r="162" spans="1:16" ht="86.45">
      <c r="A162" s="1" t="s">
        <v>2126</v>
      </c>
      <c r="B162" s="1" t="s">
        <v>1478</v>
      </c>
      <c r="C162" s="3" t="s">
        <v>561</v>
      </c>
      <c r="D162" s="4" t="s">
        <v>562</v>
      </c>
      <c r="E162" s="9">
        <v>45846</v>
      </c>
      <c r="F162" s="6" t="s">
        <v>88</v>
      </c>
      <c r="G162" s="6" t="s">
        <v>85</v>
      </c>
      <c r="H162" s="9"/>
      <c r="I162" s="7" t="s">
        <v>2127</v>
      </c>
      <c r="J162" s="4"/>
      <c r="K162" s="4" t="s">
        <v>930</v>
      </c>
      <c r="L162" s="4" t="s">
        <v>1524</v>
      </c>
      <c r="M162" s="4" t="s">
        <v>928</v>
      </c>
      <c r="N162" s="6" t="s">
        <v>1271</v>
      </c>
      <c r="O162" s="6"/>
      <c r="P162" s="1"/>
    </row>
    <row r="163" spans="1:16" ht="86.45">
      <c r="A163" s="1" t="s">
        <v>2128</v>
      </c>
      <c r="B163" s="1" t="s">
        <v>1478</v>
      </c>
      <c r="C163" s="3" t="s">
        <v>561</v>
      </c>
      <c r="D163" s="4" t="s">
        <v>562</v>
      </c>
      <c r="E163" s="9">
        <v>45846</v>
      </c>
      <c r="F163" s="6" t="s">
        <v>88</v>
      </c>
      <c r="G163" s="6" t="s">
        <v>84</v>
      </c>
      <c r="H163" s="9"/>
      <c r="I163" s="7" t="s">
        <v>2127</v>
      </c>
      <c r="J163" s="4"/>
      <c r="K163" s="4" t="s">
        <v>930</v>
      </c>
      <c r="L163" s="4" t="s">
        <v>1524</v>
      </c>
      <c r="M163" s="4" t="s">
        <v>928</v>
      </c>
      <c r="N163" s="6" t="s">
        <v>1271</v>
      </c>
      <c r="O163" s="6"/>
      <c r="P163" s="1"/>
    </row>
    <row r="164" spans="1:16" ht="86.45">
      <c r="A164" s="1" t="s">
        <v>2129</v>
      </c>
      <c r="B164" s="1" t="s">
        <v>1478</v>
      </c>
      <c r="C164" s="3" t="s">
        <v>561</v>
      </c>
      <c r="D164" s="4" t="s">
        <v>562</v>
      </c>
      <c r="E164" s="9">
        <v>45846</v>
      </c>
      <c r="F164" s="6" t="s">
        <v>88</v>
      </c>
      <c r="G164" s="6" t="s">
        <v>7</v>
      </c>
      <c r="H164" s="9"/>
      <c r="I164" s="7" t="s">
        <v>2127</v>
      </c>
      <c r="J164" s="4"/>
      <c r="K164" s="4" t="s">
        <v>930</v>
      </c>
      <c r="L164" s="4" t="s">
        <v>1524</v>
      </c>
      <c r="M164" s="4" t="s">
        <v>928</v>
      </c>
      <c r="N164" s="6" t="s">
        <v>1271</v>
      </c>
      <c r="O164" s="6"/>
      <c r="P164" s="1"/>
    </row>
    <row r="165" spans="1:16" ht="43.15">
      <c r="A165" s="1" t="s">
        <v>2130</v>
      </c>
      <c r="B165" s="1" t="s">
        <v>1478</v>
      </c>
      <c r="C165" s="3" t="s">
        <v>561</v>
      </c>
      <c r="D165" s="4" t="s">
        <v>563</v>
      </c>
      <c r="E165" s="9">
        <v>45846</v>
      </c>
      <c r="F165" s="6" t="s">
        <v>88</v>
      </c>
      <c r="G165" s="6" t="s">
        <v>85</v>
      </c>
      <c r="H165" s="9"/>
      <c r="I165" s="7" t="s">
        <v>2131</v>
      </c>
      <c r="J165" s="4"/>
      <c r="K165" s="4"/>
      <c r="L165" s="4"/>
      <c r="M165" s="4" t="s">
        <v>1526</v>
      </c>
      <c r="N165" s="6" t="s">
        <v>1271</v>
      </c>
      <c r="O165" s="6"/>
      <c r="P165" s="1"/>
    </row>
    <row r="166" spans="1:16" ht="43.15">
      <c r="A166" s="1" t="s">
        <v>2132</v>
      </c>
      <c r="B166" s="1" t="s">
        <v>1478</v>
      </c>
      <c r="C166" s="3" t="s">
        <v>561</v>
      </c>
      <c r="D166" s="4" t="s">
        <v>563</v>
      </c>
      <c r="E166" s="9">
        <v>45846</v>
      </c>
      <c r="F166" s="6" t="s">
        <v>88</v>
      </c>
      <c r="G166" s="6" t="s">
        <v>84</v>
      </c>
      <c r="H166" s="9"/>
      <c r="I166" s="7" t="s">
        <v>2131</v>
      </c>
      <c r="J166" s="4"/>
      <c r="K166" s="4"/>
      <c r="L166" s="4"/>
      <c r="M166" s="4" t="s">
        <v>1526</v>
      </c>
      <c r="N166" s="6" t="s">
        <v>1271</v>
      </c>
      <c r="O166" s="6"/>
      <c r="P166" s="1"/>
    </row>
    <row r="167" spans="1:16" ht="43.15">
      <c r="A167" s="1" t="s">
        <v>2133</v>
      </c>
      <c r="B167" s="1" t="s">
        <v>1478</v>
      </c>
      <c r="C167" s="3" t="s">
        <v>561</v>
      </c>
      <c r="D167" s="4" t="s">
        <v>563</v>
      </c>
      <c r="E167" s="9">
        <v>45846</v>
      </c>
      <c r="F167" s="6" t="s">
        <v>88</v>
      </c>
      <c r="G167" s="6" t="s">
        <v>7</v>
      </c>
      <c r="H167" s="9"/>
      <c r="I167" s="7" t="s">
        <v>2131</v>
      </c>
      <c r="J167" s="4"/>
      <c r="K167" s="4"/>
      <c r="L167" s="4"/>
      <c r="M167" s="4" t="s">
        <v>1526</v>
      </c>
      <c r="N167" s="6" t="s">
        <v>1271</v>
      </c>
      <c r="O167" s="6"/>
      <c r="P167" s="1"/>
    </row>
    <row r="168" spans="1:16" ht="43.15">
      <c r="A168" s="1" t="s">
        <v>2134</v>
      </c>
      <c r="B168" s="1" t="s">
        <v>1478</v>
      </c>
      <c r="C168" s="3" t="s">
        <v>564</v>
      </c>
      <c r="D168" s="4" t="s">
        <v>565</v>
      </c>
      <c r="E168" s="9">
        <v>45846</v>
      </c>
      <c r="F168" s="6" t="s">
        <v>87</v>
      </c>
      <c r="G168" s="6" t="s">
        <v>83</v>
      </c>
      <c r="H168" s="9">
        <v>45846</v>
      </c>
      <c r="I168" s="7" t="s">
        <v>2135</v>
      </c>
      <c r="J168" s="4"/>
      <c r="K168" s="4" t="s">
        <v>1528</v>
      </c>
      <c r="L168" s="4" t="s">
        <v>1529</v>
      </c>
      <c r="M168" s="4" t="s">
        <v>933</v>
      </c>
      <c r="N168" s="6" t="s">
        <v>1271</v>
      </c>
      <c r="O168" s="6"/>
      <c r="P168" s="1">
        <v>0</v>
      </c>
    </row>
    <row r="169" spans="1:16" ht="43.15">
      <c r="A169" s="1" t="s">
        <v>2136</v>
      </c>
      <c r="B169" s="1" t="s">
        <v>1478</v>
      </c>
      <c r="C169" s="3" t="s">
        <v>564</v>
      </c>
      <c r="D169" s="4" t="s">
        <v>565</v>
      </c>
      <c r="E169" s="9">
        <v>45846</v>
      </c>
      <c r="F169" s="6" t="s">
        <v>88</v>
      </c>
      <c r="G169" s="6" t="s">
        <v>85</v>
      </c>
      <c r="H169" s="9"/>
      <c r="I169" s="7" t="s">
        <v>2135</v>
      </c>
      <c r="J169" s="4"/>
      <c r="K169" s="4" t="s">
        <v>1528</v>
      </c>
      <c r="L169" s="4" t="s">
        <v>1529</v>
      </c>
      <c r="M169" s="4" t="s">
        <v>933</v>
      </c>
      <c r="N169" s="6" t="s">
        <v>1271</v>
      </c>
      <c r="O169" s="6"/>
      <c r="P169" s="1"/>
    </row>
    <row r="170" spans="1:16" ht="43.15">
      <c r="A170" s="1" t="s">
        <v>2137</v>
      </c>
      <c r="B170" s="1" t="s">
        <v>1478</v>
      </c>
      <c r="C170" s="3" t="s">
        <v>564</v>
      </c>
      <c r="D170" s="4" t="s">
        <v>565</v>
      </c>
      <c r="E170" s="9">
        <v>45846</v>
      </c>
      <c r="F170" s="6" t="s">
        <v>88</v>
      </c>
      <c r="G170" s="6" t="s">
        <v>84</v>
      </c>
      <c r="H170" s="9"/>
      <c r="I170" s="7" t="s">
        <v>2135</v>
      </c>
      <c r="J170" s="4"/>
      <c r="K170" s="4" t="s">
        <v>1528</v>
      </c>
      <c r="L170" s="4" t="s">
        <v>1529</v>
      </c>
      <c r="M170" s="4" t="s">
        <v>933</v>
      </c>
      <c r="N170" s="6" t="s">
        <v>1271</v>
      </c>
      <c r="O170" s="6"/>
      <c r="P170" s="1"/>
    </row>
    <row r="171" spans="1:16" ht="28.9">
      <c r="A171" s="1" t="s">
        <v>2138</v>
      </c>
      <c r="B171" s="1" t="s">
        <v>1478</v>
      </c>
      <c r="C171" s="3" t="s">
        <v>566</v>
      </c>
      <c r="D171" s="4" t="s">
        <v>567</v>
      </c>
      <c r="E171" s="9">
        <v>45846</v>
      </c>
      <c r="F171" s="6" t="s">
        <v>87</v>
      </c>
      <c r="G171" s="6" t="s">
        <v>83</v>
      </c>
      <c r="H171" s="9">
        <v>45846</v>
      </c>
      <c r="I171" s="7" t="s">
        <v>2139</v>
      </c>
      <c r="J171" s="4"/>
      <c r="K171" s="4" t="s">
        <v>938</v>
      </c>
      <c r="L171" s="4" t="s">
        <v>1532</v>
      </c>
      <c r="M171" s="4" t="s">
        <v>937</v>
      </c>
      <c r="N171" s="6" t="s">
        <v>1271</v>
      </c>
      <c r="O171" s="6"/>
      <c r="P171" s="1">
        <v>0</v>
      </c>
    </row>
    <row r="172" spans="1:16" ht="28.9">
      <c r="A172" s="1" t="s">
        <v>2140</v>
      </c>
      <c r="B172" s="1" t="s">
        <v>1478</v>
      </c>
      <c r="C172" s="3" t="s">
        <v>566</v>
      </c>
      <c r="D172" s="4" t="s">
        <v>567</v>
      </c>
      <c r="E172" s="9">
        <v>45846</v>
      </c>
      <c r="F172" s="6" t="s">
        <v>88</v>
      </c>
      <c r="G172" s="6" t="s">
        <v>85</v>
      </c>
      <c r="H172" s="9"/>
      <c r="I172" s="7" t="s">
        <v>2139</v>
      </c>
      <c r="J172" s="4"/>
      <c r="K172" s="4" t="s">
        <v>938</v>
      </c>
      <c r="L172" s="4" t="s">
        <v>1532</v>
      </c>
      <c r="M172" s="4" t="s">
        <v>937</v>
      </c>
      <c r="N172" s="6" t="s">
        <v>1271</v>
      </c>
      <c r="O172" s="6"/>
      <c r="P172" s="1"/>
    </row>
    <row r="173" spans="1:16" ht="28.9">
      <c r="A173" s="1" t="s">
        <v>2141</v>
      </c>
      <c r="B173" s="1" t="s">
        <v>1478</v>
      </c>
      <c r="C173" s="3" t="s">
        <v>566</v>
      </c>
      <c r="D173" s="4" t="s">
        <v>567</v>
      </c>
      <c r="E173" s="9">
        <v>45846</v>
      </c>
      <c r="F173" s="6" t="s">
        <v>88</v>
      </c>
      <c r="G173" s="6" t="s">
        <v>84</v>
      </c>
      <c r="H173" s="9"/>
      <c r="I173" s="7" t="s">
        <v>2139</v>
      </c>
      <c r="J173" s="4"/>
      <c r="K173" s="4" t="s">
        <v>938</v>
      </c>
      <c r="L173" s="4" t="s">
        <v>1532</v>
      </c>
      <c r="M173" s="4" t="s">
        <v>937</v>
      </c>
      <c r="N173" s="6" t="s">
        <v>1271</v>
      </c>
      <c r="O173" s="6"/>
      <c r="P173" s="1"/>
    </row>
    <row r="174" spans="1:16" ht="43.15">
      <c r="A174" s="1" t="s">
        <v>2142</v>
      </c>
      <c r="B174" s="1" t="s">
        <v>1534</v>
      </c>
      <c r="C174" s="3" t="s">
        <v>568</v>
      </c>
      <c r="D174" s="4" t="s">
        <v>569</v>
      </c>
      <c r="E174" s="9">
        <v>45846</v>
      </c>
      <c r="F174" s="6" t="s">
        <v>87</v>
      </c>
      <c r="G174" s="6" t="s">
        <v>83</v>
      </c>
      <c r="H174" s="9">
        <v>45846</v>
      </c>
      <c r="I174" s="7" t="s">
        <v>2012</v>
      </c>
      <c r="J174" s="4"/>
      <c r="K174" s="4" t="s">
        <v>1536</v>
      </c>
      <c r="L174" s="4" t="s">
        <v>1538</v>
      </c>
      <c r="M174" s="4" t="s">
        <v>941</v>
      </c>
      <c r="N174" s="6" t="s">
        <v>1271</v>
      </c>
      <c r="O174" s="6"/>
      <c r="P174" s="1">
        <v>0</v>
      </c>
    </row>
    <row r="175" spans="1:16" ht="43.15">
      <c r="A175" s="1" t="s">
        <v>2143</v>
      </c>
      <c r="B175" s="1" t="s">
        <v>1534</v>
      </c>
      <c r="C175" s="3" t="s">
        <v>568</v>
      </c>
      <c r="D175" s="4" t="s">
        <v>569</v>
      </c>
      <c r="E175" s="9">
        <v>45846</v>
      </c>
      <c r="F175" s="6" t="s">
        <v>88</v>
      </c>
      <c r="G175" s="6" t="s">
        <v>85</v>
      </c>
      <c r="H175" s="9"/>
      <c r="I175" s="7" t="s">
        <v>2012</v>
      </c>
      <c r="J175" s="4"/>
      <c r="K175" s="4" t="s">
        <v>1536</v>
      </c>
      <c r="L175" s="4" t="s">
        <v>1538</v>
      </c>
      <c r="M175" s="4" t="s">
        <v>941</v>
      </c>
      <c r="N175" s="6" t="s">
        <v>1271</v>
      </c>
      <c r="O175" s="6"/>
      <c r="P175" s="1"/>
    </row>
    <row r="176" spans="1:16" ht="28.9">
      <c r="A176" s="1" t="s">
        <v>2144</v>
      </c>
      <c r="B176" s="1" t="s">
        <v>1534</v>
      </c>
      <c r="C176" s="3" t="s">
        <v>570</v>
      </c>
      <c r="D176" s="4" t="s">
        <v>571</v>
      </c>
      <c r="E176" s="9">
        <v>45846</v>
      </c>
      <c r="F176" s="6" t="s">
        <v>88</v>
      </c>
      <c r="G176" s="6" t="s">
        <v>84</v>
      </c>
      <c r="H176" s="9"/>
      <c r="I176" s="7" t="s">
        <v>2145</v>
      </c>
      <c r="J176" s="4"/>
      <c r="K176" s="4" t="s">
        <v>945</v>
      </c>
      <c r="L176" s="4" t="s">
        <v>1541</v>
      </c>
      <c r="M176" s="4" t="s">
        <v>77</v>
      </c>
      <c r="N176" s="6" t="s">
        <v>1271</v>
      </c>
      <c r="O176" s="6"/>
      <c r="P176" s="1"/>
    </row>
    <row r="177" spans="1:16" ht="28.9">
      <c r="A177" s="1" t="s">
        <v>2146</v>
      </c>
      <c r="B177" s="1" t="s">
        <v>1534</v>
      </c>
      <c r="C177" s="3" t="s">
        <v>572</v>
      </c>
      <c r="D177" s="4" t="s">
        <v>573</v>
      </c>
      <c r="E177" s="9">
        <v>45846</v>
      </c>
      <c r="F177" s="6" t="s">
        <v>88</v>
      </c>
      <c r="G177" s="6" t="s">
        <v>85</v>
      </c>
      <c r="H177" s="9"/>
      <c r="I177" s="7" t="s">
        <v>2147</v>
      </c>
      <c r="J177" s="4"/>
      <c r="K177" s="4" t="s">
        <v>948</v>
      </c>
      <c r="L177" s="4" t="s">
        <v>1544</v>
      </c>
      <c r="M177" s="4" t="s">
        <v>947</v>
      </c>
      <c r="N177" s="6" t="s">
        <v>1271</v>
      </c>
      <c r="O177" s="6"/>
      <c r="P177" s="1"/>
    </row>
    <row r="178" spans="1:16" ht="28.9">
      <c r="A178" s="1" t="s">
        <v>2148</v>
      </c>
      <c r="B178" s="1" t="s">
        <v>1534</v>
      </c>
      <c r="C178" s="3" t="s">
        <v>574</v>
      </c>
      <c r="D178" s="4" t="s">
        <v>575</v>
      </c>
      <c r="E178" s="9">
        <v>45846</v>
      </c>
      <c r="F178" s="6" t="s">
        <v>88</v>
      </c>
      <c r="G178" s="6" t="s">
        <v>84</v>
      </c>
      <c r="H178" s="9"/>
      <c r="I178" s="7" t="s">
        <v>2149</v>
      </c>
      <c r="J178" s="4"/>
      <c r="K178" s="4" t="s">
        <v>1550</v>
      </c>
      <c r="L178" s="4" t="s">
        <v>1551</v>
      </c>
      <c r="M178" s="4" t="s">
        <v>955</v>
      </c>
      <c r="N178" s="6" t="s">
        <v>1271</v>
      </c>
      <c r="O178" s="6"/>
      <c r="P178" s="1"/>
    </row>
    <row r="179" spans="1:16" ht="43.15">
      <c r="A179" s="1" t="s">
        <v>2150</v>
      </c>
      <c r="B179" s="1" t="s">
        <v>1534</v>
      </c>
      <c r="C179" s="3" t="s">
        <v>576</v>
      </c>
      <c r="D179" s="4" t="s">
        <v>577</v>
      </c>
      <c r="E179" s="9">
        <v>45846</v>
      </c>
      <c r="F179" s="6" t="s">
        <v>88</v>
      </c>
      <c r="G179" s="6" t="s">
        <v>85</v>
      </c>
      <c r="H179" s="9"/>
      <c r="I179" s="7" t="s">
        <v>2151</v>
      </c>
      <c r="J179" s="4"/>
      <c r="K179" s="4" t="s">
        <v>1553</v>
      </c>
      <c r="L179" s="4" t="s">
        <v>1554</v>
      </c>
      <c r="M179" s="4" t="s">
        <v>958</v>
      </c>
      <c r="N179" s="6" t="s">
        <v>1271</v>
      </c>
      <c r="O179" s="6"/>
      <c r="P179" s="1"/>
    </row>
    <row r="180" spans="1:16" ht="43.15">
      <c r="A180" s="1" t="s">
        <v>2152</v>
      </c>
      <c r="B180" s="1" t="s">
        <v>1534</v>
      </c>
      <c r="C180" s="3" t="s">
        <v>576</v>
      </c>
      <c r="D180" s="4" t="s">
        <v>577</v>
      </c>
      <c r="E180" s="9">
        <v>45846</v>
      </c>
      <c r="F180" s="6" t="s">
        <v>88</v>
      </c>
      <c r="G180" s="6" t="s">
        <v>84</v>
      </c>
      <c r="H180" s="9"/>
      <c r="I180" s="7" t="s">
        <v>2151</v>
      </c>
      <c r="J180" s="4"/>
      <c r="K180" s="4" t="s">
        <v>1553</v>
      </c>
      <c r="L180" s="4" t="s">
        <v>1554</v>
      </c>
      <c r="M180" s="4" t="s">
        <v>958</v>
      </c>
      <c r="N180" s="6" t="s">
        <v>1271</v>
      </c>
      <c r="O180" s="6"/>
      <c r="P180" s="1"/>
    </row>
    <row r="181" spans="1:16" ht="86.45">
      <c r="A181" s="1" t="s">
        <v>2153</v>
      </c>
      <c r="B181" s="1" t="s">
        <v>1534</v>
      </c>
      <c r="C181" s="3" t="s">
        <v>576</v>
      </c>
      <c r="D181" s="4" t="s">
        <v>578</v>
      </c>
      <c r="E181" s="9">
        <v>45846</v>
      </c>
      <c r="F181" s="6" t="s">
        <v>89</v>
      </c>
      <c r="G181" s="6" t="s">
        <v>84</v>
      </c>
      <c r="H181" s="9"/>
      <c r="I181" s="7" t="s">
        <v>2154</v>
      </c>
      <c r="J181" s="4"/>
      <c r="K181" s="4"/>
      <c r="L181" s="4"/>
      <c r="M181" s="4" t="s">
        <v>1555</v>
      </c>
      <c r="N181" s="6" t="s">
        <v>1271</v>
      </c>
      <c r="O181" s="6"/>
      <c r="P181" s="1"/>
    </row>
    <row r="182" spans="1:16" ht="28.9">
      <c r="A182" s="1" t="s">
        <v>2155</v>
      </c>
      <c r="B182" s="1" t="s">
        <v>1534</v>
      </c>
      <c r="C182" s="3" t="s">
        <v>579</v>
      </c>
      <c r="D182" s="4" t="s">
        <v>580</v>
      </c>
      <c r="E182" s="9">
        <v>45846</v>
      </c>
      <c r="F182" s="6" t="s">
        <v>88</v>
      </c>
      <c r="G182" s="6" t="s">
        <v>84</v>
      </c>
      <c r="H182" s="9"/>
      <c r="I182" s="7" t="s">
        <v>2149</v>
      </c>
      <c r="J182" s="4"/>
      <c r="K182" s="4" t="s">
        <v>964</v>
      </c>
      <c r="L182" s="4" t="s">
        <v>1556</v>
      </c>
      <c r="M182" s="4" t="s">
        <v>963</v>
      </c>
      <c r="N182" s="6" t="s">
        <v>1271</v>
      </c>
      <c r="O182" s="6"/>
      <c r="P182" s="1"/>
    </row>
    <row r="183" spans="1:16" ht="28.9">
      <c r="A183" s="1" t="s">
        <v>2156</v>
      </c>
      <c r="B183" s="1" t="s">
        <v>1534</v>
      </c>
      <c r="C183" s="3" t="s">
        <v>581</v>
      </c>
      <c r="D183" s="4" t="s">
        <v>582</v>
      </c>
      <c r="E183" s="9">
        <v>45846</v>
      </c>
      <c r="F183" s="6" t="s">
        <v>88</v>
      </c>
      <c r="G183" s="6" t="s">
        <v>84</v>
      </c>
      <c r="H183" s="9"/>
      <c r="I183" s="7" t="s">
        <v>2149</v>
      </c>
      <c r="J183" s="4"/>
      <c r="K183" s="4" t="s">
        <v>967</v>
      </c>
      <c r="L183" s="4" t="s">
        <v>1557</v>
      </c>
      <c r="M183" s="4" t="s">
        <v>966</v>
      </c>
      <c r="N183" s="6" t="s">
        <v>1271</v>
      </c>
      <c r="O183" s="6"/>
      <c r="P183" s="1"/>
    </row>
    <row r="184" spans="1:16" ht="86.45">
      <c r="A184" s="1" t="s">
        <v>2157</v>
      </c>
      <c r="B184" s="1" t="s">
        <v>1534</v>
      </c>
      <c r="C184" s="3" t="s">
        <v>583</v>
      </c>
      <c r="D184" s="4" t="s">
        <v>970</v>
      </c>
      <c r="E184" s="9">
        <v>45846</v>
      </c>
      <c r="F184" s="6" t="s">
        <v>87</v>
      </c>
      <c r="G184" s="6" t="s">
        <v>83</v>
      </c>
      <c r="H184" s="9">
        <v>45846</v>
      </c>
      <c r="I184" s="7" t="s">
        <v>2158</v>
      </c>
      <c r="J184" s="4"/>
      <c r="K184" s="4" t="s">
        <v>971</v>
      </c>
      <c r="L184" s="4" t="s">
        <v>1559</v>
      </c>
      <c r="M184" s="4" t="s">
        <v>969</v>
      </c>
      <c r="N184" s="6" t="s">
        <v>1271</v>
      </c>
      <c r="O184" s="6"/>
      <c r="P184" s="1">
        <v>0</v>
      </c>
    </row>
    <row r="185" spans="1:16" ht="28.9">
      <c r="A185" s="1" t="s">
        <v>2159</v>
      </c>
      <c r="B185" s="1" t="s">
        <v>1534</v>
      </c>
      <c r="C185" s="3" t="s">
        <v>583</v>
      </c>
      <c r="D185" s="4" t="s">
        <v>584</v>
      </c>
      <c r="E185" s="9">
        <v>45846</v>
      </c>
      <c r="F185" s="6" t="s">
        <v>88</v>
      </c>
      <c r="G185" s="6" t="s">
        <v>85</v>
      </c>
      <c r="H185" s="9"/>
      <c r="I185" s="7" t="s">
        <v>2160</v>
      </c>
      <c r="J185" s="4"/>
      <c r="K185" s="4"/>
      <c r="L185" s="4"/>
      <c r="M185" s="4" t="s">
        <v>1561</v>
      </c>
      <c r="N185" s="6" t="s">
        <v>1271</v>
      </c>
      <c r="O185" s="6"/>
      <c r="P185" s="1"/>
    </row>
    <row r="186" spans="1:16" ht="28.9">
      <c r="A186" s="1" t="s">
        <v>2161</v>
      </c>
      <c r="B186" s="1" t="s">
        <v>1534</v>
      </c>
      <c r="C186" s="3" t="s">
        <v>583</v>
      </c>
      <c r="D186" s="4" t="s">
        <v>584</v>
      </c>
      <c r="E186" s="9">
        <v>45846</v>
      </c>
      <c r="F186" s="6" t="s">
        <v>88</v>
      </c>
      <c r="G186" s="6" t="s">
        <v>84</v>
      </c>
      <c r="H186" s="9"/>
      <c r="I186" s="7" t="s">
        <v>2160</v>
      </c>
      <c r="J186" s="4"/>
      <c r="K186" s="4"/>
      <c r="L186" s="4"/>
      <c r="M186" s="4" t="s">
        <v>1561</v>
      </c>
      <c r="N186" s="6" t="s">
        <v>1271</v>
      </c>
      <c r="O186" s="6"/>
      <c r="P186" s="1"/>
    </row>
    <row r="187" spans="1:16" ht="28.9">
      <c r="A187" s="1" t="s">
        <v>2162</v>
      </c>
      <c r="B187" s="1" t="s">
        <v>1534</v>
      </c>
      <c r="C187" s="3" t="s">
        <v>585</v>
      </c>
      <c r="D187" s="4" t="s">
        <v>586</v>
      </c>
      <c r="E187" s="9">
        <v>45846</v>
      </c>
      <c r="F187" s="6" t="s">
        <v>88</v>
      </c>
      <c r="G187" s="6" t="s">
        <v>84</v>
      </c>
      <c r="H187" s="9"/>
      <c r="I187" s="7" t="s">
        <v>1983</v>
      </c>
      <c r="J187" s="4"/>
      <c r="K187" s="4" t="s">
        <v>1562</v>
      </c>
      <c r="L187" s="4" t="s">
        <v>1563</v>
      </c>
      <c r="M187" s="4" t="s">
        <v>974</v>
      </c>
      <c r="N187" s="6" t="s">
        <v>1271</v>
      </c>
      <c r="O187" s="6"/>
      <c r="P187" s="1"/>
    </row>
    <row r="188" spans="1:16" ht="28.9">
      <c r="A188" s="1" t="s">
        <v>2163</v>
      </c>
      <c r="B188" s="1" t="s">
        <v>1534</v>
      </c>
      <c r="C188" s="3" t="s">
        <v>585</v>
      </c>
      <c r="D188" s="4" t="s">
        <v>587</v>
      </c>
      <c r="E188" s="9">
        <v>45846</v>
      </c>
      <c r="F188" s="6" t="s">
        <v>88</v>
      </c>
      <c r="G188" s="6" t="s">
        <v>84</v>
      </c>
      <c r="H188" s="9"/>
      <c r="I188" s="7" t="s">
        <v>2164</v>
      </c>
      <c r="J188" s="4"/>
      <c r="K188" s="4"/>
      <c r="L188" s="4"/>
      <c r="M188" s="4" t="s">
        <v>1565</v>
      </c>
      <c r="N188" s="6" t="s">
        <v>1271</v>
      </c>
      <c r="O188" s="6"/>
      <c r="P188" s="1"/>
    </row>
    <row r="189" spans="1:16" ht="72">
      <c r="A189" s="1" t="s">
        <v>2165</v>
      </c>
      <c r="B189" s="1" t="s">
        <v>1534</v>
      </c>
      <c r="C189" s="3" t="s">
        <v>585</v>
      </c>
      <c r="D189" s="4" t="s">
        <v>588</v>
      </c>
      <c r="E189" s="9">
        <v>45846</v>
      </c>
      <c r="F189" s="6" t="s">
        <v>88</v>
      </c>
      <c r="G189" s="6" t="s">
        <v>84</v>
      </c>
      <c r="H189" s="9"/>
      <c r="I189" s="7" t="s">
        <v>2166</v>
      </c>
      <c r="J189" s="4"/>
      <c r="K189" s="4"/>
      <c r="L189" s="4"/>
      <c r="M189" s="4" t="s">
        <v>1566</v>
      </c>
      <c r="N189" s="6" t="s">
        <v>1271</v>
      </c>
      <c r="O189" s="6"/>
      <c r="P189" s="1"/>
    </row>
    <row r="190" spans="1:16" ht="72">
      <c r="A190" s="1" t="s">
        <v>2167</v>
      </c>
      <c r="B190" s="1" t="s">
        <v>1534</v>
      </c>
      <c r="C190" s="3" t="s">
        <v>623</v>
      </c>
      <c r="D190" s="4" t="s">
        <v>979</v>
      </c>
      <c r="E190" s="9">
        <v>45846</v>
      </c>
      <c r="F190" s="6" t="s">
        <v>87</v>
      </c>
      <c r="G190" s="6" t="s">
        <v>83</v>
      </c>
      <c r="H190" s="9">
        <v>45846</v>
      </c>
      <c r="I190" s="7" t="s">
        <v>2166</v>
      </c>
      <c r="J190" s="4"/>
      <c r="K190" s="4" t="s">
        <v>980</v>
      </c>
      <c r="L190" s="4" t="s">
        <v>1568</v>
      </c>
      <c r="M190" s="4" t="s">
        <v>978</v>
      </c>
      <c r="N190" s="6" t="s">
        <v>1271</v>
      </c>
      <c r="O190" s="6"/>
      <c r="P190" s="1">
        <v>0</v>
      </c>
    </row>
    <row r="191" spans="1:16" ht="43.15">
      <c r="A191" s="1" t="s">
        <v>2168</v>
      </c>
      <c r="B191" s="1" t="s">
        <v>1534</v>
      </c>
      <c r="C191" s="3" t="s">
        <v>589</v>
      </c>
      <c r="D191" s="4" t="s">
        <v>590</v>
      </c>
      <c r="E191" s="9">
        <v>45846</v>
      </c>
      <c r="F191" s="6" t="s">
        <v>88</v>
      </c>
      <c r="G191" s="6" t="s">
        <v>84</v>
      </c>
      <c r="H191" s="9"/>
      <c r="I191" s="7" t="s">
        <v>2169</v>
      </c>
      <c r="J191" s="4"/>
      <c r="K191" s="4" t="s">
        <v>984</v>
      </c>
      <c r="L191" s="4" t="s">
        <v>1571</v>
      </c>
      <c r="M191" s="4" t="s">
        <v>982</v>
      </c>
      <c r="N191" s="6" t="s">
        <v>1271</v>
      </c>
      <c r="O191" s="6"/>
      <c r="P191" s="1"/>
    </row>
    <row r="192" spans="1:16" ht="144">
      <c r="A192" s="1" t="s">
        <v>2170</v>
      </c>
      <c r="B192" s="1" t="s">
        <v>1534</v>
      </c>
      <c r="C192" s="3" t="s">
        <v>591</v>
      </c>
      <c r="D192" s="4" t="s">
        <v>592</v>
      </c>
      <c r="E192" s="9">
        <v>45846</v>
      </c>
      <c r="F192" s="6" t="s">
        <v>87</v>
      </c>
      <c r="G192" s="6" t="s">
        <v>83</v>
      </c>
      <c r="H192" s="9">
        <v>45846</v>
      </c>
      <c r="I192" s="7" t="s">
        <v>2171</v>
      </c>
      <c r="J192" s="4"/>
      <c r="K192" s="4" t="s">
        <v>1574</v>
      </c>
      <c r="L192" s="4" t="s">
        <v>1575</v>
      </c>
      <c r="M192" s="4" t="s">
        <v>987</v>
      </c>
      <c r="N192" s="6" t="s">
        <v>1271</v>
      </c>
      <c r="O192" s="6"/>
      <c r="P192" s="1">
        <v>0</v>
      </c>
    </row>
    <row r="193" spans="1:16" ht="144">
      <c r="A193" s="1" t="s">
        <v>2172</v>
      </c>
      <c r="B193" s="1" t="s">
        <v>1534</v>
      </c>
      <c r="C193" s="3" t="s">
        <v>591</v>
      </c>
      <c r="D193" s="4" t="s">
        <v>592</v>
      </c>
      <c r="E193" s="9">
        <v>45846</v>
      </c>
      <c r="F193" s="6" t="s">
        <v>88</v>
      </c>
      <c r="G193" s="6" t="s">
        <v>7</v>
      </c>
      <c r="H193" s="9"/>
      <c r="I193" s="7" t="s">
        <v>2171</v>
      </c>
      <c r="J193" s="4"/>
      <c r="K193" s="4" t="s">
        <v>1574</v>
      </c>
      <c r="L193" s="4" t="s">
        <v>1575</v>
      </c>
      <c r="M193" s="4" t="s">
        <v>987</v>
      </c>
      <c r="N193" s="6" t="s">
        <v>1271</v>
      </c>
      <c r="O193" s="6"/>
      <c r="P193" s="1"/>
    </row>
    <row r="194" spans="1:16" ht="86.45">
      <c r="A194" s="1" t="s">
        <v>2173</v>
      </c>
      <c r="B194" s="1" t="s">
        <v>1534</v>
      </c>
      <c r="C194" s="3" t="s">
        <v>591</v>
      </c>
      <c r="D194" s="4" t="s">
        <v>593</v>
      </c>
      <c r="E194" s="9">
        <v>45846</v>
      </c>
      <c r="F194" s="6" t="s">
        <v>88</v>
      </c>
      <c r="G194" s="6" t="s">
        <v>7</v>
      </c>
      <c r="H194" s="9"/>
      <c r="I194" s="7" t="s">
        <v>2174</v>
      </c>
      <c r="J194" s="4"/>
      <c r="K194" s="4"/>
      <c r="L194" s="4"/>
      <c r="M194" s="4" t="s">
        <v>1577</v>
      </c>
      <c r="N194" s="6" t="s">
        <v>1271</v>
      </c>
      <c r="O194" s="6"/>
      <c r="P194" s="1"/>
    </row>
    <row r="195" spans="1:16" ht="72">
      <c r="A195" s="1" t="s">
        <v>2175</v>
      </c>
      <c r="B195" s="1" t="s">
        <v>1534</v>
      </c>
      <c r="C195" s="3" t="s">
        <v>594</v>
      </c>
      <c r="D195" s="4" t="s">
        <v>595</v>
      </c>
      <c r="E195" s="9">
        <v>45846</v>
      </c>
      <c r="F195" s="6" t="s">
        <v>87</v>
      </c>
      <c r="G195" s="6" t="s">
        <v>83</v>
      </c>
      <c r="H195" s="9">
        <v>45846</v>
      </c>
      <c r="I195" s="7" t="s">
        <v>2176</v>
      </c>
      <c r="J195" s="4"/>
      <c r="K195" s="4" t="s">
        <v>992</v>
      </c>
      <c r="L195" s="4" t="s">
        <v>1579</v>
      </c>
      <c r="M195" s="4" t="s">
        <v>990</v>
      </c>
      <c r="N195" s="6" t="s">
        <v>1271</v>
      </c>
      <c r="O195" s="6"/>
      <c r="P195" s="1">
        <v>0</v>
      </c>
    </row>
    <row r="196" spans="1:16" ht="72">
      <c r="A196" s="1" t="s">
        <v>2177</v>
      </c>
      <c r="B196" s="1" t="s">
        <v>1534</v>
      </c>
      <c r="C196" s="3" t="s">
        <v>594</v>
      </c>
      <c r="D196" s="4" t="s">
        <v>595</v>
      </c>
      <c r="E196" s="9">
        <v>45846</v>
      </c>
      <c r="F196" s="6" t="s">
        <v>88</v>
      </c>
      <c r="G196" s="6" t="s">
        <v>7</v>
      </c>
      <c r="H196" s="9"/>
      <c r="I196" s="7" t="s">
        <v>2176</v>
      </c>
      <c r="J196" s="4"/>
      <c r="K196" s="4" t="s">
        <v>992</v>
      </c>
      <c r="L196" s="4" t="s">
        <v>1579</v>
      </c>
      <c r="M196" s="4" t="s">
        <v>990</v>
      </c>
      <c r="N196" s="6" t="s">
        <v>1271</v>
      </c>
      <c r="O196" s="6"/>
      <c r="P196" s="1"/>
    </row>
    <row r="197" spans="1:16" ht="86.45">
      <c r="A197" s="1" t="s">
        <v>2178</v>
      </c>
      <c r="B197" s="1" t="s">
        <v>1534</v>
      </c>
      <c r="C197" s="3" t="s">
        <v>596</v>
      </c>
      <c r="D197" s="4" t="s">
        <v>597</v>
      </c>
      <c r="E197" s="9">
        <v>45846</v>
      </c>
      <c r="F197" s="6" t="s">
        <v>87</v>
      </c>
      <c r="G197" s="6" t="s">
        <v>83</v>
      </c>
      <c r="H197" s="9">
        <v>45846</v>
      </c>
      <c r="I197" s="7" t="s">
        <v>2179</v>
      </c>
      <c r="J197" s="4"/>
      <c r="K197" s="4" t="s">
        <v>996</v>
      </c>
      <c r="L197" s="4" t="s">
        <v>1582</v>
      </c>
      <c r="M197" s="4" t="s">
        <v>994</v>
      </c>
      <c r="N197" s="6" t="s">
        <v>1271</v>
      </c>
      <c r="O197" s="6"/>
      <c r="P197" s="1">
        <v>0</v>
      </c>
    </row>
    <row r="198" spans="1:16" ht="86.45">
      <c r="A198" s="1" t="s">
        <v>2180</v>
      </c>
      <c r="B198" s="1" t="s">
        <v>1534</v>
      </c>
      <c r="C198" s="3" t="s">
        <v>596</v>
      </c>
      <c r="D198" s="4" t="s">
        <v>597</v>
      </c>
      <c r="E198" s="9">
        <v>45846</v>
      </c>
      <c r="F198" s="6" t="s">
        <v>88</v>
      </c>
      <c r="G198" s="6" t="s">
        <v>7</v>
      </c>
      <c r="H198" s="9"/>
      <c r="I198" s="7" t="s">
        <v>2179</v>
      </c>
      <c r="J198" s="4"/>
      <c r="K198" s="4" t="s">
        <v>996</v>
      </c>
      <c r="L198" s="4" t="s">
        <v>1582</v>
      </c>
      <c r="M198" s="4" t="s">
        <v>994</v>
      </c>
      <c r="N198" s="6" t="s">
        <v>1271</v>
      </c>
      <c r="O198" s="6"/>
      <c r="P198" s="1"/>
    </row>
    <row r="199" spans="1:16" ht="72">
      <c r="A199" s="1" t="s">
        <v>2181</v>
      </c>
      <c r="B199" s="1" t="s">
        <v>1534</v>
      </c>
      <c r="C199" s="3" t="s">
        <v>598</v>
      </c>
      <c r="D199" s="4" t="s">
        <v>599</v>
      </c>
      <c r="E199" s="9">
        <v>45846</v>
      </c>
      <c r="F199" s="6" t="s">
        <v>87</v>
      </c>
      <c r="G199" s="6" t="s">
        <v>83</v>
      </c>
      <c r="H199" s="9">
        <v>45846</v>
      </c>
      <c r="I199" s="7" t="s">
        <v>2182</v>
      </c>
      <c r="J199" s="4"/>
      <c r="K199" s="4" t="s">
        <v>1585</v>
      </c>
      <c r="L199" s="4" t="s">
        <v>1586</v>
      </c>
      <c r="M199" s="4" t="s">
        <v>999</v>
      </c>
      <c r="N199" s="6" t="s">
        <v>1271</v>
      </c>
      <c r="O199" s="6"/>
      <c r="P199" s="1">
        <v>0</v>
      </c>
    </row>
    <row r="200" spans="1:16" ht="72">
      <c r="A200" s="1" t="s">
        <v>2183</v>
      </c>
      <c r="B200" s="1" t="s">
        <v>1534</v>
      </c>
      <c r="C200" s="3" t="s">
        <v>598</v>
      </c>
      <c r="D200" s="4" t="s">
        <v>599</v>
      </c>
      <c r="E200" s="9">
        <v>45846</v>
      </c>
      <c r="F200" s="6" t="s">
        <v>88</v>
      </c>
      <c r="G200" s="6" t="s">
        <v>7</v>
      </c>
      <c r="H200" s="9"/>
      <c r="I200" s="7" t="s">
        <v>2182</v>
      </c>
      <c r="J200" s="4"/>
      <c r="K200" s="4" t="s">
        <v>1585</v>
      </c>
      <c r="L200" s="4" t="s">
        <v>1586</v>
      </c>
      <c r="M200" s="4" t="s">
        <v>999</v>
      </c>
      <c r="N200" s="6" t="s">
        <v>1271</v>
      </c>
      <c r="O200" s="6"/>
      <c r="P200" s="1"/>
    </row>
    <row r="201" spans="1:16" ht="43.15">
      <c r="A201" s="1" t="s">
        <v>2184</v>
      </c>
      <c r="B201" s="1" t="s">
        <v>1264</v>
      </c>
      <c r="C201" s="3" t="s">
        <v>461</v>
      </c>
      <c r="D201" s="4" t="s">
        <v>462</v>
      </c>
      <c r="E201" s="9">
        <v>45847</v>
      </c>
      <c r="F201" s="6" t="s">
        <v>88</v>
      </c>
      <c r="G201" s="6" t="s">
        <v>7</v>
      </c>
      <c r="H201" s="9"/>
      <c r="I201" s="7" t="s">
        <v>1925</v>
      </c>
      <c r="J201" s="4"/>
      <c r="K201" s="4" t="s">
        <v>692</v>
      </c>
      <c r="L201" s="4" t="s">
        <v>1307</v>
      </c>
      <c r="M201" s="4" t="s">
        <v>691</v>
      </c>
      <c r="N201" s="6" t="s">
        <v>1271</v>
      </c>
      <c r="O201" s="6"/>
      <c r="P201" s="1"/>
    </row>
    <row r="202" spans="1:16" ht="129.6">
      <c r="A202" s="1" t="s">
        <v>2185</v>
      </c>
      <c r="B202" s="1" t="s">
        <v>1264</v>
      </c>
      <c r="C202" s="3" t="s">
        <v>469</v>
      </c>
      <c r="D202" s="4" t="s">
        <v>471</v>
      </c>
      <c r="E202" s="9">
        <v>45847</v>
      </c>
      <c r="F202" s="6" t="s">
        <v>88</v>
      </c>
      <c r="G202" s="6" t="s">
        <v>7</v>
      </c>
      <c r="H202" s="9"/>
      <c r="I202" s="7" t="s">
        <v>1939</v>
      </c>
      <c r="J202" s="4"/>
      <c r="K202" s="4"/>
      <c r="L202" s="4"/>
      <c r="M202" s="4" t="s">
        <v>1330</v>
      </c>
      <c r="N202" s="6" t="s">
        <v>1271</v>
      </c>
      <c r="O202" s="6"/>
      <c r="P202" s="1"/>
    </row>
    <row r="203" spans="1:16" ht="86.45">
      <c r="A203" s="1" t="s">
        <v>2186</v>
      </c>
      <c r="B203" s="1" t="s">
        <v>1264</v>
      </c>
      <c r="C203" s="3" t="s">
        <v>469</v>
      </c>
      <c r="D203" s="4" t="s">
        <v>472</v>
      </c>
      <c r="E203" s="9">
        <v>45847</v>
      </c>
      <c r="F203" s="6" t="s">
        <v>88</v>
      </c>
      <c r="G203" s="6" t="s">
        <v>7</v>
      </c>
      <c r="H203" s="9"/>
      <c r="I203" s="7" t="s">
        <v>1941</v>
      </c>
      <c r="J203" s="4"/>
      <c r="K203" s="4"/>
      <c r="L203" s="4"/>
      <c r="M203" s="4" t="s">
        <v>1331</v>
      </c>
      <c r="N203" s="6" t="s">
        <v>1271</v>
      </c>
      <c r="O203" s="6"/>
      <c r="P203" s="1"/>
    </row>
    <row r="204" spans="1:16" ht="100.9">
      <c r="A204" s="1" t="s">
        <v>2187</v>
      </c>
      <c r="B204" s="1" t="s">
        <v>1264</v>
      </c>
      <c r="C204" s="3" t="s">
        <v>477</v>
      </c>
      <c r="D204" s="4" t="s">
        <v>478</v>
      </c>
      <c r="E204" s="9">
        <v>45847</v>
      </c>
      <c r="F204" s="6" t="s">
        <v>88</v>
      </c>
      <c r="G204" s="6" t="s">
        <v>85</v>
      </c>
      <c r="H204" s="9"/>
      <c r="I204" s="7" t="s">
        <v>1947</v>
      </c>
      <c r="J204" s="4"/>
      <c r="K204" s="4" t="s">
        <v>1338</v>
      </c>
      <c r="L204" s="4" t="s">
        <v>1340</v>
      </c>
      <c r="M204" s="4" t="s">
        <v>724</v>
      </c>
      <c r="N204" s="6" t="s">
        <v>1271</v>
      </c>
      <c r="O204" s="6"/>
      <c r="P204" s="1"/>
    </row>
    <row r="205" spans="1:16" ht="100.9">
      <c r="A205" s="1" t="s">
        <v>2188</v>
      </c>
      <c r="B205" s="1" t="s">
        <v>1264</v>
      </c>
      <c r="C205" s="3" t="s">
        <v>477</v>
      </c>
      <c r="D205" s="4" t="s">
        <v>478</v>
      </c>
      <c r="E205" s="9">
        <v>45847</v>
      </c>
      <c r="F205" s="6" t="s">
        <v>88</v>
      </c>
      <c r="G205" s="6" t="s">
        <v>7</v>
      </c>
      <c r="H205" s="9"/>
      <c r="I205" s="7" t="s">
        <v>1947</v>
      </c>
      <c r="J205" s="4"/>
      <c r="K205" s="4" t="s">
        <v>1338</v>
      </c>
      <c r="L205" s="4" t="s">
        <v>1340</v>
      </c>
      <c r="M205" s="4" t="s">
        <v>724</v>
      </c>
      <c r="N205" s="6" t="s">
        <v>1271</v>
      </c>
      <c r="O205" s="6"/>
      <c r="P205" s="1"/>
    </row>
    <row r="206" spans="1:16" ht="86.45">
      <c r="A206" s="1" t="s">
        <v>2189</v>
      </c>
      <c r="B206" s="1" t="s">
        <v>1264</v>
      </c>
      <c r="C206" s="3" t="s">
        <v>479</v>
      </c>
      <c r="D206" s="4" t="s">
        <v>481</v>
      </c>
      <c r="E206" s="9">
        <v>45847</v>
      </c>
      <c r="F206" s="6" t="s">
        <v>88</v>
      </c>
      <c r="G206" s="6" t="s">
        <v>84</v>
      </c>
      <c r="H206" s="9"/>
      <c r="I206" s="7" t="s">
        <v>1952</v>
      </c>
      <c r="J206" s="4"/>
      <c r="K206" s="4" t="s">
        <v>739</v>
      </c>
      <c r="L206" s="4" t="s">
        <v>1347</v>
      </c>
      <c r="M206" s="4" t="s">
        <v>737</v>
      </c>
      <c r="N206" s="6" t="s">
        <v>1271</v>
      </c>
      <c r="O206" s="6"/>
      <c r="P206" s="1"/>
    </row>
    <row r="207" spans="1:16" ht="86.45">
      <c r="A207" s="1" t="s">
        <v>2190</v>
      </c>
      <c r="B207" s="1" t="s">
        <v>1264</v>
      </c>
      <c r="C207" s="3" t="s">
        <v>479</v>
      </c>
      <c r="D207" s="4" t="s">
        <v>481</v>
      </c>
      <c r="E207" s="9">
        <v>45847</v>
      </c>
      <c r="F207" s="6" t="s">
        <v>88</v>
      </c>
      <c r="G207" s="6" t="s">
        <v>7</v>
      </c>
      <c r="H207" s="9"/>
      <c r="I207" s="7" t="s">
        <v>1952</v>
      </c>
      <c r="J207" s="4"/>
      <c r="K207" s="4" t="s">
        <v>739</v>
      </c>
      <c r="L207" s="4" t="s">
        <v>1347</v>
      </c>
      <c r="M207" s="4" t="s">
        <v>737</v>
      </c>
      <c r="N207" s="6" t="s">
        <v>1271</v>
      </c>
      <c r="O207" s="6"/>
      <c r="P207" s="1"/>
    </row>
    <row r="208" spans="1:16" ht="129.6">
      <c r="A208" s="1" t="s">
        <v>2191</v>
      </c>
      <c r="B208" s="1" t="s">
        <v>1264</v>
      </c>
      <c r="C208" s="3" t="s">
        <v>486</v>
      </c>
      <c r="D208" s="4" t="s">
        <v>488</v>
      </c>
      <c r="E208" s="9">
        <v>45847</v>
      </c>
      <c r="F208" s="6" t="s">
        <v>88</v>
      </c>
      <c r="G208" s="6" t="s">
        <v>7</v>
      </c>
      <c r="H208" s="9"/>
      <c r="I208" s="7" t="s">
        <v>1970</v>
      </c>
      <c r="J208" s="4"/>
      <c r="K208" s="4" t="s">
        <v>769</v>
      </c>
      <c r="L208" s="4" t="s">
        <v>1364</v>
      </c>
      <c r="M208" s="4" t="s">
        <v>768</v>
      </c>
      <c r="N208" s="6" t="s">
        <v>1271</v>
      </c>
      <c r="O208" s="6"/>
      <c r="P208" s="1"/>
    </row>
    <row r="209" spans="1:16" ht="72">
      <c r="A209" s="1" t="s">
        <v>2192</v>
      </c>
      <c r="B209" s="1" t="s">
        <v>1264</v>
      </c>
      <c r="C209" s="3" t="s">
        <v>490</v>
      </c>
      <c r="D209" s="4" t="s">
        <v>492</v>
      </c>
      <c r="E209" s="9">
        <v>45847</v>
      </c>
      <c r="F209" s="6" t="s">
        <v>88</v>
      </c>
      <c r="G209" s="6" t="s">
        <v>85</v>
      </c>
      <c r="H209" s="9"/>
      <c r="I209" s="7" t="s">
        <v>1979</v>
      </c>
      <c r="J209" s="4"/>
      <c r="K209" s="4" t="s">
        <v>777</v>
      </c>
      <c r="L209" s="4" t="s">
        <v>1371</v>
      </c>
      <c r="M209" s="4" t="s">
        <v>776</v>
      </c>
      <c r="N209" s="6" t="s">
        <v>1271</v>
      </c>
      <c r="O209" s="6"/>
      <c r="P209" s="1"/>
    </row>
    <row r="210" spans="1:16" ht="72">
      <c r="A210" s="1" t="s">
        <v>2193</v>
      </c>
      <c r="B210" s="1" t="s">
        <v>1264</v>
      </c>
      <c r="C210" s="3" t="s">
        <v>490</v>
      </c>
      <c r="D210" s="4" t="s">
        <v>492</v>
      </c>
      <c r="E210" s="9">
        <v>45847</v>
      </c>
      <c r="F210" s="6" t="s">
        <v>88</v>
      </c>
      <c r="G210" s="6" t="s">
        <v>84</v>
      </c>
      <c r="H210" s="9"/>
      <c r="I210" s="7" t="s">
        <v>1979</v>
      </c>
      <c r="J210" s="4"/>
      <c r="K210" s="4" t="s">
        <v>777</v>
      </c>
      <c r="L210" s="4" t="s">
        <v>1371</v>
      </c>
      <c r="M210" s="4" t="s">
        <v>776</v>
      </c>
      <c r="N210" s="6" t="s">
        <v>1271</v>
      </c>
      <c r="O210" s="6"/>
      <c r="P210" s="1"/>
    </row>
    <row r="211" spans="1:16" ht="72">
      <c r="A211" s="1" t="s">
        <v>2194</v>
      </c>
      <c r="B211" s="1" t="s">
        <v>1264</v>
      </c>
      <c r="C211" s="3" t="s">
        <v>490</v>
      </c>
      <c r="D211" s="4" t="s">
        <v>492</v>
      </c>
      <c r="E211" s="9">
        <v>45847</v>
      </c>
      <c r="F211" s="6" t="s">
        <v>88</v>
      </c>
      <c r="G211" s="6" t="s">
        <v>7</v>
      </c>
      <c r="H211" s="9"/>
      <c r="I211" s="7" t="s">
        <v>1979</v>
      </c>
      <c r="J211" s="4"/>
      <c r="K211" s="4" t="s">
        <v>777</v>
      </c>
      <c r="L211" s="4" t="s">
        <v>1371</v>
      </c>
      <c r="M211" s="4" t="s">
        <v>776</v>
      </c>
      <c r="N211" s="6" t="s">
        <v>1271</v>
      </c>
      <c r="O211" s="6"/>
      <c r="P211" s="1"/>
    </row>
    <row r="212" spans="1:16" ht="28.9">
      <c r="A212" s="1" t="s">
        <v>2195</v>
      </c>
      <c r="B212" s="1" t="s">
        <v>1421</v>
      </c>
      <c r="C212" s="3" t="s">
        <v>512</v>
      </c>
      <c r="D212" s="4" t="s">
        <v>513</v>
      </c>
      <c r="E212" s="9">
        <v>45847</v>
      </c>
      <c r="F212" s="6" t="s">
        <v>88</v>
      </c>
      <c r="G212" s="6" t="s">
        <v>7</v>
      </c>
      <c r="H212" s="9"/>
      <c r="I212" s="7" t="s">
        <v>1901</v>
      </c>
      <c r="J212" s="4"/>
      <c r="K212" s="4" t="s">
        <v>1437</v>
      </c>
      <c r="L212" s="4" t="s">
        <v>1438</v>
      </c>
      <c r="M212" s="4" t="s">
        <v>852</v>
      </c>
      <c r="N212" s="6" t="s">
        <v>1271</v>
      </c>
      <c r="O212" s="6"/>
      <c r="P212" s="1"/>
    </row>
    <row r="213" spans="1:16" ht="86.45">
      <c r="A213" s="1" t="s">
        <v>2196</v>
      </c>
      <c r="B213" s="1" t="s">
        <v>1421</v>
      </c>
      <c r="C213" s="3" t="s">
        <v>512</v>
      </c>
      <c r="D213" s="4" t="s">
        <v>515</v>
      </c>
      <c r="E213" s="9">
        <v>45847</v>
      </c>
      <c r="F213" s="6" t="s">
        <v>88</v>
      </c>
      <c r="G213" s="6" t="s">
        <v>7</v>
      </c>
      <c r="H213" s="9"/>
      <c r="I213" s="7" t="s">
        <v>2033</v>
      </c>
      <c r="J213" s="4"/>
      <c r="K213" s="4"/>
      <c r="L213" s="4"/>
      <c r="M213" s="4" t="s">
        <v>1443</v>
      </c>
      <c r="N213" s="6" t="s">
        <v>1271</v>
      </c>
      <c r="O213" s="6"/>
      <c r="P213" s="1"/>
    </row>
    <row r="214" spans="1:16" ht="100.9">
      <c r="A214" s="1" t="s">
        <v>2197</v>
      </c>
      <c r="B214" s="1" t="s">
        <v>1421</v>
      </c>
      <c r="C214" s="3" t="s">
        <v>512</v>
      </c>
      <c r="D214" s="4" t="s">
        <v>516</v>
      </c>
      <c r="E214" s="9">
        <v>45847</v>
      </c>
      <c r="F214" s="6" t="s">
        <v>88</v>
      </c>
      <c r="G214" s="6" t="s">
        <v>7</v>
      </c>
      <c r="H214" s="9"/>
      <c r="I214" s="7" t="s">
        <v>2035</v>
      </c>
      <c r="J214" s="4"/>
      <c r="K214" s="4"/>
      <c r="L214" s="4"/>
      <c r="M214" s="4" t="s">
        <v>1444</v>
      </c>
      <c r="N214" s="6" t="s">
        <v>1271</v>
      </c>
      <c r="O214" s="6"/>
      <c r="P214" s="1"/>
    </row>
    <row r="215" spans="1:16" ht="86.45">
      <c r="A215" s="1" t="s">
        <v>2198</v>
      </c>
      <c r="B215" s="1" t="s">
        <v>1421</v>
      </c>
      <c r="C215" s="3" t="s">
        <v>512</v>
      </c>
      <c r="D215" s="4" t="s">
        <v>518</v>
      </c>
      <c r="E215" s="9">
        <v>45847</v>
      </c>
      <c r="F215" s="6" t="s">
        <v>88</v>
      </c>
      <c r="G215" s="6" t="s">
        <v>7</v>
      </c>
      <c r="H215" s="9"/>
      <c r="I215" s="7" t="s">
        <v>2039</v>
      </c>
      <c r="J215" s="4"/>
      <c r="K215" s="4"/>
      <c r="L215" s="4"/>
      <c r="M215" s="4" t="s">
        <v>1448</v>
      </c>
      <c r="N215" s="6" t="s">
        <v>1271</v>
      </c>
      <c r="O215" s="6"/>
      <c r="P215" s="1"/>
    </row>
    <row r="216" spans="1:16" ht="129.6">
      <c r="A216" s="1" t="s">
        <v>2199</v>
      </c>
      <c r="B216" s="1" t="s">
        <v>1421</v>
      </c>
      <c r="C216" s="3" t="s">
        <v>512</v>
      </c>
      <c r="D216" s="4" t="s">
        <v>519</v>
      </c>
      <c r="E216" s="9">
        <v>45847</v>
      </c>
      <c r="F216" s="6" t="s">
        <v>88</v>
      </c>
      <c r="G216" s="6" t="s">
        <v>7</v>
      </c>
      <c r="H216" s="9"/>
      <c r="I216" s="7" t="s">
        <v>2041</v>
      </c>
      <c r="J216" s="4"/>
      <c r="K216" s="4"/>
      <c r="L216" s="4"/>
      <c r="M216" s="4" t="s">
        <v>1449</v>
      </c>
      <c r="N216" s="6" t="s">
        <v>1271</v>
      </c>
      <c r="O216" s="6"/>
      <c r="P216" s="1"/>
    </row>
    <row r="217" spans="1:16" ht="129.6">
      <c r="A217" s="1" t="s">
        <v>2200</v>
      </c>
      <c r="B217" s="1" t="s">
        <v>1421</v>
      </c>
      <c r="C217" s="3" t="s">
        <v>512</v>
      </c>
      <c r="D217" s="4" t="s">
        <v>520</v>
      </c>
      <c r="E217" s="9">
        <v>45847</v>
      </c>
      <c r="F217" s="6" t="s">
        <v>88</v>
      </c>
      <c r="G217" s="6" t="s">
        <v>84</v>
      </c>
      <c r="H217" s="9"/>
      <c r="I217" s="7" t="s">
        <v>2043</v>
      </c>
      <c r="J217" s="4"/>
      <c r="K217" s="4"/>
      <c r="L217" s="4"/>
      <c r="M217" s="4" t="s">
        <v>1450</v>
      </c>
      <c r="N217" s="6" t="s">
        <v>1271</v>
      </c>
      <c r="O217" s="6"/>
      <c r="P217" s="1"/>
    </row>
    <row r="218" spans="1:16" ht="129.6">
      <c r="A218" s="1" t="s">
        <v>2201</v>
      </c>
      <c r="B218" s="1" t="s">
        <v>1421</v>
      </c>
      <c r="C218" s="3" t="s">
        <v>512</v>
      </c>
      <c r="D218" s="4" t="s">
        <v>520</v>
      </c>
      <c r="E218" s="9">
        <v>45847</v>
      </c>
      <c r="F218" s="6" t="s">
        <v>88</v>
      </c>
      <c r="G218" s="6" t="s">
        <v>7</v>
      </c>
      <c r="H218" s="9"/>
      <c r="I218" s="7" t="s">
        <v>2043</v>
      </c>
      <c r="J218" s="4"/>
      <c r="K218" s="4"/>
      <c r="L218" s="4"/>
      <c r="M218" s="4" t="s">
        <v>1450</v>
      </c>
      <c r="N218" s="6" t="s">
        <v>1271</v>
      </c>
      <c r="O218" s="6"/>
      <c r="P218" s="1"/>
    </row>
    <row r="219" spans="1:16" ht="100.9">
      <c r="A219" s="1" t="s">
        <v>2202</v>
      </c>
      <c r="B219" s="1" t="s">
        <v>1421</v>
      </c>
      <c r="C219" s="3" t="s">
        <v>525</v>
      </c>
      <c r="D219" s="4" t="s">
        <v>526</v>
      </c>
      <c r="E219" s="9">
        <v>45847</v>
      </c>
      <c r="F219" s="6" t="s">
        <v>88</v>
      </c>
      <c r="G219" s="6" t="s">
        <v>85</v>
      </c>
      <c r="H219" s="9"/>
      <c r="I219" s="7" t="s">
        <v>2052</v>
      </c>
      <c r="J219" s="4"/>
      <c r="K219" s="4" t="s">
        <v>863</v>
      </c>
      <c r="L219" s="4" t="s">
        <v>1459</v>
      </c>
      <c r="M219" s="4" t="s">
        <v>862</v>
      </c>
      <c r="N219" s="6" t="s">
        <v>1271</v>
      </c>
      <c r="O219" s="6"/>
      <c r="P219" s="1"/>
    </row>
    <row r="220" spans="1:16" ht="100.9">
      <c r="A220" s="1" t="s">
        <v>2203</v>
      </c>
      <c r="B220" s="1" t="s">
        <v>1421</v>
      </c>
      <c r="C220" s="3" t="s">
        <v>525</v>
      </c>
      <c r="D220" s="4" t="s">
        <v>526</v>
      </c>
      <c r="E220" s="9">
        <v>45847</v>
      </c>
      <c r="F220" s="6" t="s">
        <v>88</v>
      </c>
      <c r="G220" s="6" t="s">
        <v>84</v>
      </c>
      <c r="H220" s="9"/>
      <c r="I220" s="7" t="s">
        <v>2052</v>
      </c>
      <c r="J220" s="4"/>
      <c r="K220" s="4" t="s">
        <v>863</v>
      </c>
      <c r="L220" s="4" t="s">
        <v>1459</v>
      </c>
      <c r="M220" s="4" t="s">
        <v>862</v>
      </c>
      <c r="N220" s="6" t="s">
        <v>1271</v>
      </c>
      <c r="O220" s="6"/>
      <c r="P220" s="1"/>
    </row>
    <row r="221" spans="1:16" ht="28.9">
      <c r="A221" s="1" t="s">
        <v>2204</v>
      </c>
      <c r="B221" s="1" t="s">
        <v>1478</v>
      </c>
      <c r="C221" s="3" t="s">
        <v>552</v>
      </c>
      <c r="D221" s="4" t="s">
        <v>556</v>
      </c>
      <c r="E221" s="9">
        <v>45847</v>
      </c>
      <c r="F221" s="6" t="s">
        <v>88</v>
      </c>
      <c r="G221" s="6" t="s">
        <v>85</v>
      </c>
      <c r="H221" s="9"/>
      <c r="I221" s="7" t="s">
        <v>2116</v>
      </c>
      <c r="J221" s="4"/>
      <c r="K221" s="4"/>
      <c r="L221" s="4"/>
      <c r="M221" s="4" t="s">
        <v>1517</v>
      </c>
      <c r="N221" s="6" t="s">
        <v>1271</v>
      </c>
      <c r="O221" s="6"/>
      <c r="P221" s="1"/>
    </row>
    <row r="222" spans="1:16" ht="28.9">
      <c r="A222" s="1" t="s">
        <v>2205</v>
      </c>
      <c r="B222" s="1" t="s">
        <v>1478</v>
      </c>
      <c r="C222" s="3" t="s">
        <v>552</v>
      </c>
      <c r="D222" s="4" t="s">
        <v>556</v>
      </c>
      <c r="E222" s="9">
        <v>45847</v>
      </c>
      <c r="F222" s="6" t="s">
        <v>88</v>
      </c>
      <c r="G222" s="6" t="s">
        <v>84</v>
      </c>
      <c r="H222" s="9"/>
      <c r="I222" s="7" t="s">
        <v>2116</v>
      </c>
      <c r="J222" s="4"/>
      <c r="K222" s="4"/>
      <c r="L222" s="4"/>
      <c r="M222" s="4" t="s">
        <v>1517</v>
      </c>
      <c r="N222" s="6" t="s">
        <v>1271</v>
      </c>
      <c r="O222" s="6"/>
      <c r="P222" s="1"/>
    </row>
    <row r="223" spans="1:16" ht="86.45">
      <c r="A223" s="1" t="s">
        <v>2206</v>
      </c>
      <c r="B223" s="1" t="s">
        <v>1534</v>
      </c>
      <c r="C223" s="3" t="s">
        <v>576</v>
      </c>
      <c r="D223" s="4" t="s">
        <v>578</v>
      </c>
      <c r="E223" s="9">
        <v>45847</v>
      </c>
      <c r="F223" s="6" t="s">
        <v>88</v>
      </c>
      <c r="G223" s="6" t="s">
        <v>84</v>
      </c>
      <c r="H223" s="9"/>
      <c r="I223" s="7" t="s">
        <v>2154</v>
      </c>
      <c r="J223" s="4"/>
      <c r="K223" s="4"/>
      <c r="L223" s="4"/>
      <c r="M223" s="4" t="s">
        <v>1555</v>
      </c>
      <c r="N223" s="6" t="s">
        <v>1271</v>
      </c>
      <c r="O223" s="6"/>
      <c r="P223" s="1"/>
    </row>
    <row r="224" spans="1:16">
      <c r="A224" s="1" t="s">
        <v>1885</v>
      </c>
      <c r="B224" s="1" t="s">
        <v>1264</v>
      </c>
      <c r="C224" s="3"/>
      <c r="D224" s="4"/>
      <c r="E224" s="9"/>
      <c r="F224" s="6"/>
      <c r="G224" s="6"/>
      <c r="H224" s="9"/>
      <c r="I224" s="7"/>
      <c r="J224" s="4"/>
      <c r="K224" s="4"/>
      <c r="L224" s="4"/>
      <c r="M224" s="4"/>
      <c r="N224" s="6"/>
      <c r="O224" s="6"/>
      <c r="P224" s="1"/>
    </row>
    <row r="225" spans="1:16">
      <c r="A225" s="29" t="s">
        <v>1886</v>
      </c>
      <c r="B225" s="29" t="s">
        <v>1264</v>
      </c>
      <c r="C225" s="30"/>
      <c r="D225" s="31"/>
      <c r="E225" s="32"/>
      <c r="F225" s="33"/>
      <c r="G225" s="33"/>
      <c r="H225" s="32"/>
      <c r="I225" s="34"/>
      <c r="J225" s="31"/>
      <c r="K225" s="31"/>
      <c r="L225" s="31"/>
      <c r="M225" s="31"/>
      <c r="N225" s="33"/>
      <c r="O225" s="33"/>
      <c r="P225" s="29"/>
    </row>
  </sheetData>
  <sortState xmlns:xlrd2="http://schemas.microsoft.com/office/spreadsheetml/2017/richdata2" ref="A2:P225">
    <sortCondition ref="E2"/>
    <sortCondition ref="C2"/>
  </sortState>
  <conditionalFormatting sqref="P1:XFD1 P2:P225 A1:O225">
    <cfRule type="expression" dxfId="22" priority="53">
      <formula>$F1="Vencida"</formula>
    </cfRule>
    <cfRule type="expression" dxfId="21" priority="54">
      <formula>$F1="Completada"</formula>
    </cfRule>
  </conditionalFormatting>
  <dataValidations count="2">
    <dataValidation type="list" allowBlank="1" showInputMessage="1" showErrorMessage="1" sqref="F1:F225" xr:uid="{DAE3BA99-6AF3-4873-BF63-67D640269652}">
      <formula1>"Pendiente,Completada,Vencida,Anular tarea"</formula1>
    </dataValidation>
    <dataValidation type="list" allowBlank="1" showInputMessage="1" showErrorMessage="1" sqref="O2:O225" xr:uid="{FEB06524-1587-469C-9FD2-5609CECE2D1D}">
      <formula1>INDIRECT(TRIM(SUBSTITUTE($G2," ","_")))</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8C955369557274DB95EECA613AE566B" ma:contentTypeVersion="15" ma:contentTypeDescription="Crear nuevo documento." ma:contentTypeScope="" ma:versionID="279f7ca4cef30f167ef72e6cc14f5d93">
  <xsd:schema xmlns:xsd="http://www.w3.org/2001/XMLSchema" xmlns:xs="http://www.w3.org/2001/XMLSchema" xmlns:p="http://schemas.microsoft.com/office/2006/metadata/properties" xmlns:ns2="7d9d7626-a194-4f14-976e-a8ffded6aadc" xmlns:ns3="ee5ced38-4fd1-40f8-9f7f-0234bf63dc4f" targetNamespace="http://schemas.microsoft.com/office/2006/metadata/properties" ma:root="true" ma:fieldsID="76549e0cc8c86aabc0e99bc0f2fd3c01" ns2:_="" ns3:_="">
    <xsd:import namespace="7d9d7626-a194-4f14-976e-a8ffded6aadc"/>
    <xsd:import namespace="ee5ced38-4fd1-40f8-9f7f-0234bf63dc4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OCR"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9d7626-a194-4f14-976e-a8ffded6aa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Etiquetas de imagen" ma:readOnly="false" ma:fieldId="{5cf76f15-5ced-4ddc-b409-7134ff3c332f}" ma:taxonomyMulti="true" ma:sspId="bb9e2a73-f419-4c44-99f5-cd310bbfdd7d" ma:termSetId="09814cd3-568e-fe90-9814-8d621ff8fb84" ma:anchorId="fba54fb3-c3e1-fe81-a776-ca4b69148c4d" ma:open="true" ma:isKeyword="false">
      <xsd:complexType>
        <xsd:sequence>
          <xsd:element ref="pc:Terms" minOccurs="0" maxOccurs="1"/>
        </xsd:sequence>
      </xsd:complex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e5ced38-4fd1-40f8-9f7f-0234bf63dc4f"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da51b1c9-086a-4618-99e7-4a10a67ebb4b}" ma:internalName="TaxCatchAll" ma:showField="CatchAllData" ma:web="ee5ced38-4fd1-40f8-9f7f-0234bf63dc4f">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d9d7626-a194-4f14-976e-a8ffded6aadc">
      <Terms xmlns="http://schemas.microsoft.com/office/infopath/2007/PartnerControls"/>
    </lcf76f155ced4ddcb4097134ff3c332f>
    <TaxCatchAll xmlns="ee5ced38-4fd1-40f8-9f7f-0234bf63dc4f" xsi:nil="true"/>
  </documentManagement>
</p:properties>
</file>

<file path=customXml/itemProps1.xml><?xml version="1.0" encoding="utf-8"?>
<ds:datastoreItem xmlns:ds="http://schemas.openxmlformats.org/officeDocument/2006/customXml" ds:itemID="{CAAF55E2-2B6E-4AAD-B87B-EB5573B137D5}"/>
</file>

<file path=customXml/itemProps2.xml><?xml version="1.0" encoding="utf-8"?>
<ds:datastoreItem xmlns:ds="http://schemas.openxmlformats.org/officeDocument/2006/customXml" ds:itemID="{BE13D152-0727-43A5-A9F5-9E2537C27883}"/>
</file>

<file path=customXml/itemProps3.xml><?xml version="1.0" encoding="utf-8"?>
<ds:datastoreItem xmlns:ds="http://schemas.openxmlformats.org/officeDocument/2006/customXml" ds:itemID="{F85EF15C-B729-496E-B647-177C6DF075B7}"/>
</file>

<file path=docMetadata/LabelInfo.xml><?xml version="1.0" encoding="utf-8"?>
<clbl:labelList xmlns:clbl="http://schemas.microsoft.com/office/2020/mipLabelMetadata">
  <clbl:label id="{736915f3-2f02-4945-8997-f2963298db46}" enabled="1" method="Standard" siteId="{cd99fef8-1cd3-4a2a-9bdf-15531181d65e}"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Lucas Miranda (DHL PA)</dc:creator>
  <cp:keywords/>
  <dc:description/>
  <cp:lastModifiedBy>Lucas Miranda (DHL PA)</cp:lastModifiedBy>
  <cp:revision/>
  <dcterms:created xsi:type="dcterms:W3CDTF">2025-06-16T23:23:30Z</dcterms:created>
  <dcterms:modified xsi:type="dcterms:W3CDTF">2025-09-09T21:53:30Z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0x01010048C955369557274DB95EECA613AE566B</vt:lpwstr>
  </property>
</Properties>
</file>